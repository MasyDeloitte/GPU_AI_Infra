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sy\Downloads\Projects\Final_GPUSizing_Tool_NonAI\Version_6.x_self\"/>
    </mc:Choice>
  </mc:AlternateContent>
  <xr:revisionPtr revIDLastSave="0" documentId="13_ncr:1_{C493B54F-5866-4B94-AECA-9C205CCE2BD5}" xr6:coauthVersionLast="47" xr6:coauthVersionMax="47" xr10:uidLastSave="{00000000-0000-0000-0000-000000000000}"/>
  <bookViews>
    <workbookView xWindow="-110" yWindow="-110" windowWidth="19420" windowHeight="11500" firstSheet="1" activeTab="4" xr2:uid="{00000000-000D-0000-FFFF-FFFF00000000}"/>
  </bookViews>
  <sheets>
    <sheet name="README" sheetId="1" state="hidden" r:id="rId1"/>
    <sheet name="Input" sheetId="2" r:id="rId2"/>
    <sheet name="Model_Mapping_Catalog" sheetId="3" r:id="rId3"/>
    <sheet name="Model_Selection" sheetId="4" r:id="rId4"/>
    <sheet name="Hardware_Mapping_Catalog" sheetId="5" r:id="rId5"/>
    <sheet name="GPU_Server_Selection" sheetId="6" r:id="rId6"/>
    <sheet name="BOM" sheetId="7" r:id="rId7"/>
    <sheet name="Financial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8" l="1"/>
  <c r="N39" i="5"/>
  <c r="L39" i="5"/>
  <c r="N38" i="5"/>
  <c r="L38" i="5"/>
  <c r="N37" i="5"/>
  <c r="L37" i="5"/>
  <c r="N36" i="5"/>
  <c r="L36" i="5"/>
  <c r="N35" i="5"/>
  <c r="L35" i="5"/>
  <c r="N34" i="5"/>
  <c r="L34" i="5"/>
  <c r="N33" i="5"/>
  <c r="L33" i="5"/>
  <c r="AB28" i="5"/>
  <c r="AB27" i="5"/>
  <c r="AB26" i="5"/>
  <c r="AB25" i="5"/>
  <c r="AB24" i="5"/>
  <c r="AB23" i="5"/>
  <c r="AB22" i="5"/>
  <c r="AB21" i="5"/>
  <c r="AB20" i="5"/>
  <c r="AB19" i="5"/>
  <c r="AB18" i="5"/>
  <c r="AB17" i="5"/>
  <c r="AB16" i="5"/>
  <c r="AB15" i="5"/>
  <c r="C18" i="4"/>
  <c r="C16" i="4"/>
  <c r="C13" i="4"/>
  <c r="C10" i="4"/>
  <c r="C7" i="4"/>
  <c r="C9" i="4" s="1"/>
  <c r="C6" i="4"/>
  <c r="C5" i="4"/>
  <c r="C4" i="4"/>
  <c r="AC53" i="3"/>
  <c r="AC52" i="3"/>
  <c r="AC51" i="3"/>
  <c r="AD50" i="3"/>
  <c r="AC50" i="3"/>
  <c r="AD49" i="3"/>
  <c r="AC49" i="3"/>
  <c r="AD48" i="3"/>
  <c r="AC48" i="3"/>
  <c r="AD47" i="3"/>
  <c r="AC47" i="3"/>
  <c r="AD46" i="3"/>
  <c r="AC46" i="3"/>
  <c r="AD45" i="3"/>
  <c r="AC45" i="3"/>
  <c r="AD44" i="3"/>
  <c r="AC44" i="3"/>
  <c r="AD43" i="3"/>
  <c r="AC43" i="3"/>
  <c r="AD42" i="3"/>
  <c r="AC42" i="3"/>
  <c r="AD41" i="3"/>
  <c r="AC41" i="3"/>
  <c r="AD40" i="3"/>
  <c r="AC40" i="3"/>
  <c r="AD39" i="3"/>
  <c r="AC39" i="3"/>
  <c r="AD38" i="3"/>
  <c r="AC38" i="3"/>
  <c r="AD37" i="3"/>
  <c r="AC37" i="3"/>
  <c r="AD36" i="3"/>
  <c r="AC36" i="3"/>
  <c r="AD35" i="3"/>
  <c r="AC35" i="3"/>
  <c r="AD34" i="3"/>
  <c r="AC34" i="3"/>
  <c r="AD33" i="3"/>
  <c r="AC33" i="3"/>
  <c r="AD32" i="3"/>
  <c r="AC32" i="3"/>
  <c r="AD31" i="3"/>
  <c r="AC31" i="3"/>
  <c r="C8" i="4" l="1"/>
  <c r="C11" i="4" s="1"/>
  <c r="C12" i="4" s="1"/>
  <c r="C15" i="4"/>
  <c r="C4" i="6"/>
  <c r="C19" i="4"/>
  <c r="C20" i="4" s="1"/>
  <c r="O33" i="5"/>
  <c r="M33" i="5"/>
  <c r="O34" i="5"/>
  <c r="M34" i="5"/>
  <c r="O35" i="5"/>
  <c r="M35" i="5"/>
  <c r="O36" i="5"/>
  <c r="M36" i="5"/>
  <c r="O37" i="5"/>
  <c r="M37" i="5"/>
  <c r="O38" i="5"/>
  <c r="M38" i="5"/>
  <c r="O39" i="5"/>
  <c r="M39" i="5"/>
  <c r="C7" i="8"/>
  <c r="C8" i="8" s="1"/>
  <c r="C6" i="8"/>
  <c r="E5" i="8"/>
  <c r="D5" i="8"/>
  <c r="C14" i="4" l="1"/>
  <c r="D7" i="8"/>
  <c r="D8" i="8" s="1"/>
  <c r="D6" i="8"/>
  <c r="E7" i="8"/>
  <c r="E8" i="8" s="1"/>
  <c r="E6" i="8"/>
  <c r="C5" i="6"/>
  <c r="C22" i="4"/>
  <c r="C23" i="4" s="1"/>
  <c r="C21" i="4"/>
  <c r="C6" i="6" s="1"/>
  <c r="C4" i="7"/>
  <c r="E4" i="6"/>
  <c r="E4" i="7" s="1"/>
  <c r="D4" i="6"/>
  <c r="D4" i="7" s="1"/>
  <c r="C14" i="6"/>
  <c r="C17" i="4"/>
  <c r="E14" i="6" l="1"/>
  <c r="D14" i="6"/>
  <c r="C5" i="7"/>
  <c r="E6" i="6"/>
  <c r="E5" i="7" s="1"/>
  <c r="D6" i="6"/>
  <c r="D5" i="7" s="1"/>
  <c r="C24" i="4"/>
  <c r="C25" i="4" s="1"/>
  <c r="C7" i="6"/>
  <c r="E5" i="6"/>
  <c r="D5" i="6"/>
  <c r="C34" i="6" l="1"/>
  <c r="C32" i="6"/>
  <c r="C17" i="6"/>
  <c r="C12" i="6"/>
  <c r="C11" i="6"/>
  <c r="C10" i="6"/>
  <c r="C9" i="6"/>
  <c r="C8" i="6"/>
  <c r="E7" i="6"/>
  <c r="D7" i="6"/>
  <c r="E8" i="6" l="1"/>
  <c r="D8" i="6"/>
  <c r="C7" i="7"/>
  <c r="E9" i="6"/>
  <c r="E7" i="7" s="1"/>
  <c r="D9" i="6"/>
  <c r="D7" i="7" s="1"/>
  <c r="E10" i="6"/>
  <c r="D10" i="6"/>
  <c r="E11" i="6"/>
  <c r="D11" i="6"/>
  <c r="C13" i="6"/>
  <c r="E12" i="6"/>
  <c r="D12" i="6"/>
  <c r="C25" i="6"/>
  <c r="C24" i="6"/>
  <c r="C23" i="6"/>
  <c r="C22" i="6"/>
  <c r="C21" i="6"/>
  <c r="C20" i="6"/>
  <c r="C19" i="6"/>
  <c r="C18" i="6"/>
  <c r="E17" i="6"/>
  <c r="D17" i="6"/>
  <c r="E32" i="6"/>
  <c r="D32" i="6"/>
  <c r="C44" i="6"/>
  <c r="C36" i="6"/>
  <c r="C35" i="6"/>
  <c r="E34" i="6"/>
  <c r="D34" i="6"/>
  <c r="C11" i="7" l="1"/>
  <c r="E35" i="6"/>
  <c r="E11" i="7" s="1"/>
  <c r="D35" i="6"/>
  <c r="D11" i="7" s="1"/>
  <c r="E36" i="6"/>
  <c r="D36" i="6"/>
  <c r="C25" i="7"/>
  <c r="E44" i="6"/>
  <c r="E25" i="7" s="1"/>
  <c r="D44" i="6"/>
  <c r="D25" i="7" s="1"/>
  <c r="C6" i="7"/>
  <c r="C46" i="6"/>
  <c r="E18" i="6"/>
  <c r="E6" i="7" s="1"/>
  <c r="D18" i="6"/>
  <c r="D6" i="7" s="1"/>
  <c r="C47" i="6"/>
  <c r="E19" i="6"/>
  <c r="D19" i="6"/>
  <c r="C26" i="6"/>
  <c r="E20" i="6"/>
  <c r="D20" i="6"/>
  <c r="C27" i="6"/>
  <c r="E21" i="6"/>
  <c r="D21" i="6"/>
  <c r="C28" i="6"/>
  <c r="E22" i="6"/>
  <c r="D22" i="6"/>
  <c r="C31" i="6"/>
  <c r="E23" i="6"/>
  <c r="D23" i="6"/>
  <c r="C29" i="6"/>
  <c r="E24" i="6"/>
  <c r="D24" i="6"/>
  <c r="C30" i="6"/>
  <c r="E25" i="6"/>
  <c r="D25" i="6"/>
  <c r="E13" i="6"/>
  <c r="D13" i="6"/>
  <c r="C15" i="6"/>
  <c r="C16" i="6" l="1"/>
  <c r="E15" i="6"/>
  <c r="D15" i="6"/>
  <c r="E30" i="6"/>
  <c r="D30" i="6"/>
  <c r="E29" i="6"/>
  <c r="D29" i="6"/>
  <c r="E31" i="6"/>
  <c r="D31" i="6"/>
  <c r="E28" i="6"/>
  <c r="D28" i="6"/>
  <c r="E27" i="6"/>
  <c r="D27" i="6"/>
  <c r="E26" i="6"/>
  <c r="D26" i="6"/>
  <c r="C27" i="7"/>
  <c r="E47" i="6"/>
  <c r="E27" i="7" s="1"/>
  <c r="D47" i="6"/>
  <c r="D27" i="7" s="1"/>
  <c r="E46" i="6"/>
  <c r="D46" i="6"/>
  <c r="D24" i="7"/>
  <c r="D23" i="7"/>
  <c r="D22" i="7"/>
  <c r="D21" i="7"/>
  <c r="D20" i="7"/>
  <c r="D19" i="7"/>
  <c r="D18" i="7"/>
  <c r="D17" i="7"/>
  <c r="E24" i="7"/>
  <c r="E23" i="7"/>
  <c r="E22" i="7"/>
  <c r="E21" i="7"/>
  <c r="E20" i="7"/>
  <c r="E19" i="7"/>
  <c r="E18" i="7"/>
  <c r="E17" i="7"/>
  <c r="C24" i="7"/>
  <c r="C23" i="7"/>
  <c r="C22" i="7"/>
  <c r="C21" i="7"/>
  <c r="C20" i="7"/>
  <c r="C19" i="7"/>
  <c r="C18" i="7"/>
  <c r="C17" i="7"/>
  <c r="C33" i="6" l="1"/>
  <c r="E16" i="6"/>
  <c r="D16" i="6"/>
  <c r="C8" i="7" l="1"/>
  <c r="C37" i="6"/>
  <c r="E33" i="6"/>
  <c r="D33" i="6"/>
  <c r="D8" i="7" l="1"/>
  <c r="D37" i="6"/>
  <c r="E8" i="7"/>
  <c r="E37" i="6"/>
  <c r="C9" i="7"/>
  <c r="C43" i="6"/>
  <c r="C10" i="7" s="1"/>
  <c r="C38" i="6"/>
  <c r="C12" i="7" l="1"/>
  <c r="C39" i="6"/>
  <c r="E9" i="7"/>
  <c r="E43" i="6"/>
  <c r="E10" i="7" s="1"/>
  <c r="E38" i="6"/>
  <c r="D9" i="7"/>
  <c r="D43" i="6"/>
  <c r="D10" i="7" s="1"/>
  <c r="D38" i="6"/>
  <c r="D12" i="7" l="1"/>
  <c r="D39" i="6"/>
  <c r="E12" i="7"/>
  <c r="E39" i="6"/>
  <c r="C13" i="7"/>
  <c r="C40" i="6"/>
  <c r="C14" i="7" l="1"/>
  <c r="C41" i="6"/>
  <c r="E13" i="7"/>
  <c r="E40" i="6"/>
  <c r="D13" i="7"/>
  <c r="D40" i="6"/>
  <c r="D14" i="7" l="1"/>
  <c r="D41" i="6"/>
  <c r="E14" i="7"/>
  <c r="E41" i="6"/>
  <c r="C15" i="7"/>
  <c r="C42" i="6"/>
  <c r="C16" i="7" l="1"/>
  <c r="C9" i="8" s="1"/>
  <c r="C10" i="8" s="1"/>
  <c r="C45" i="6"/>
  <c r="C26" i="7" s="1"/>
  <c r="C4" i="8" s="1"/>
  <c r="E15" i="7"/>
  <c r="E42" i="6"/>
  <c r="D15" i="7"/>
  <c r="D42" i="6"/>
  <c r="D16" i="7" l="1"/>
  <c r="D9" i="8" s="1"/>
  <c r="D10" i="8" s="1"/>
  <c r="D45" i="6"/>
  <c r="D26" i="7" s="1"/>
  <c r="D4" i="8" s="1"/>
  <c r="E16" i="7"/>
  <c r="E9" i="8" s="1"/>
  <c r="E10" i="8" s="1"/>
  <c r="E45" i="6"/>
  <c r="E26" i="7" s="1"/>
  <c r="E4" i="8" s="1"/>
  <c r="C11" i="8"/>
  <c r="C12" i="8" s="1"/>
  <c r="C13" i="8" l="1"/>
  <c r="C14" i="8" s="1"/>
  <c r="E11" i="8"/>
  <c r="E12" i="8" s="1"/>
  <c r="D11" i="8"/>
  <c r="D12" i="8" s="1"/>
  <c r="D13" i="8" l="1"/>
  <c r="D14" i="8" s="1"/>
  <c r="E13" i="8"/>
  <c r="E1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C19" authorId="0" shapeId="0" xr:uid="{00000000-0006-0000-0300-000001000000}">
      <text>
        <r>
          <rPr>
            <sz val="10"/>
            <rFont val="Arial"/>
            <family val="2"/>
          </rPr>
          <t>Uses nested IF instead of SWITCH for compatibility with older Excel calculation engines.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C6" authorId="0" shapeId="0" xr:uid="{00000000-0006-0000-0700-000001000000}">
      <text>
        <r>
          <rPr>
            <sz val="10"/>
            <rFont val="Arial"/>
            <family val="2"/>
          </rPr>
          <t>Planning estimate. Replace with storage vendor quote.</t>
        </r>
      </text>
    </comment>
    <comment ref="C8" authorId="0" shapeId="0" xr:uid="{00000000-0006-0000-0700-000002000000}">
      <text>
        <r>
          <rPr>
            <sz val="10"/>
            <rFont val="Arial"/>
            <family val="2"/>
          </rPr>
          <t>Planning estimate. Replace with NVMe vendor quote.</t>
        </r>
      </text>
    </comment>
    <comment ref="C10" authorId="0" shapeId="0" xr:uid="{00000000-0006-0000-0700-000003000000}">
      <text>
        <r>
          <rPr>
            <sz val="10"/>
            <rFont val="Arial"/>
            <family val="2"/>
          </rPr>
          <t>Planning estimate. Replace with network quote.</t>
        </r>
      </text>
    </comment>
  </commentList>
</comments>
</file>

<file path=xl/sharedStrings.xml><?xml version="1.0" encoding="utf-8"?>
<sst xmlns="http://schemas.openxmlformats.org/spreadsheetml/2006/main" count="2677" uniqueCount="1210">
  <si>
    <t>AI Infrastructure Sizing and BOM Workbook - README</t>
  </si>
  <si>
    <t>README companion file not found.</t>
  </si>
  <si>
    <t>Executive and Technical Inputs</t>
  </si>
  <si>
    <t>Input ID</t>
  </si>
  <si>
    <t>Input</t>
  </si>
  <si>
    <t>Value</t>
  </si>
  <si>
    <t>Unit</t>
  </si>
  <si>
    <t>Input Type</t>
  </si>
  <si>
    <t>Why Required</t>
  </si>
  <si>
    <t>Validation / Status</t>
  </si>
  <si>
    <t>Downstream Decision</t>
  </si>
  <si>
    <t>Value Status</t>
  </si>
  <si>
    <t>Production Replacement</t>
  </si>
  <si>
    <t>IN-001</t>
  </si>
  <si>
    <t>Workload Type</t>
  </si>
  <si>
    <t>RAG / Inference</t>
  </si>
  <si>
    <t>mode</t>
  </si>
  <si>
    <t>Dropdown</t>
  </si>
  <si>
    <t>Selects the calculation and catalog branch</t>
  </si>
  <si>
    <t>Required</t>
  </si>
  <si>
    <t>Workload Rule ID</t>
  </si>
  <si>
    <t>User Provided</t>
  </si>
  <si>
    <t>N/A</t>
  </si>
  <si>
    <t>IN-002</t>
  </si>
  <si>
    <t>Query Complexity</t>
  </si>
  <si>
    <t>Simple</t>
  </si>
  <si>
    <t>profile</t>
  </si>
  <si>
    <t>Drives query tokens and model quality tier</t>
  </si>
  <si>
    <t>Workload Rule / model</t>
  </si>
  <si>
    <t>IN-003</t>
  </si>
  <si>
    <t>Response Detail</t>
  </si>
  <si>
    <t>Detailed</t>
  </si>
  <si>
    <t>Drives output tokens and quality requirement</t>
  </si>
  <si>
    <t>Model / decode demand</t>
  </si>
  <si>
    <t>IN-004</t>
  </si>
  <si>
    <t>Conversation Length</t>
  </si>
  <si>
    <t>Medium</t>
  </si>
  <si>
    <t>Drives retained turns and context</t>
  </si>
  <si>
    <t>Context / KV cache</t>
  </si>
  <si>
    <t>IN-005</t>
  </si>
  <si>
    <t>Retrieval Depth</t>
  </si>
  <si>
    <t>High</t>
  </si>
  <si>
    <t>Drives retrieved chunks for RAG workloads</t>
  </si>
  <si>
    <t>Conditional</t>
  </si>
  <si>
    <t>Context / vector search</t>
  </si>
  <si>
    <t>IN-006</t>
  </si>
  <si>
    <t>Agentic Complexity</t>
  </si>
  <si>
    <t>Basic</t>
  </si>
  <si>
    <t>Drives capability tier and model-call planning</t>
  </si>
  <si>
    <t>Model capability / call rate</t>
  </si>
  <si>
    <t>IN-007</t>
  </si>
  <si>
    <t>Tool Calls per Request</t>
  </si>
  <si>
    <t>calls/request</t>
  </si>
  <si>
    <t>Whole number</t>
  </si>
  <si>
    <t>Drives tool capability and tool-result context</t>
  </si>
  <si>
    <t>&gt;=0</t>
  </si>
  <si>
    <t>Workload Rule / network</t>
  </si>
  <si>
    <t>IN-008</t>
  </si>
  <si>
    <t>Required Language Coverage</t>
  </si>
  <si>
    <t>English only</t>
  </si>
  <si>
    <t>Filters model language eligibility</t>
  </si>
  <si>
    <t>Model selection</t>
  </si>
  <si>
    <t>IN-009</t>
  </si>
  <si>
    <t>Knowledge Base Size</t>
  </si>
  <si>
    <t>TB</t>
  </si>
  <si>
    <t>Numeric</t>
  </si>
  <si>
    <t>Drives vector, storage and embedding towers</t>
  </si>
  <si>
    <t>RAG infrastructure</t>
  </si>
  <si>
    <t>IN-010</t>
  </si>
  <si>
    <t>Peak Concurrent Sessions</t>
  </si>
  <si>
    <t>sessions</t>
  </si>
  <si>
    <t>Drives concurrency and KV-cache demand</t>
  </si>
  <si>
    <t>&gt;0</t>
  </si>
  <si>
    <t>GPU capacity</t>
  </si>
  <si>
    <t>IN-011</t>
  </si>
  <si>
    <t>Peak Requests per Second</t>
  </si>
  <si>
    <t>requests/sec</t>
  </si>
  <si>
    <t>Drives throughput demand</t>
  </si>
  <si>
    <t>IN-012</t>
  </si>
  <si>
    <t>Required P95 TTFT</t>
  </si>
  <si>
    <t>ms</t>
  </si>
  <si>
    <t>Filters benchmark configurations</t>
  </si>
  <si>
    <t>GPU benchmark</t>
  </si>
  <si>
    <t>IN-013</t>
  </si>
  <si>
    <t>Required Generation Speed (Default)</t>
  </si>
  <si>
    <t>tokens/sec/session</t>
  </si>
  <si>
    <t>Filters decode benchmark configurations</t>
  </si>
  <si>
    <t>IN-014</t>
  </si>
  <si>
    <t>Precision Preference</t>
  </si>
  <si>
    <t>Auto</t>
  </si>
  <si>
    <t>precision</t>
  </si>
  <si>
    <t>Selects model weight memory and mapping</t>
  </si>
  <si>
    <t>Model-GPU mapping</t>
  </si>
  <si>
    <t>IN-015</t>
  </si>
  <si>
    <t>Availability Requirement</t>
  </si>
  <si>
    <t>HA</t>
  </si>
  <si>
    <t>policy</t>
  </si>
  <si>
    <t>Determines production redundancy</t>
  </si>
  <si>
    <t>Server quantity</t>
  </si>
  <si>
    <t>IN-016</t>
  </si>
  <si>
    <t>Additional HA Servers</t>
  </si>
  <si>
    <t>servers</t>
  </si>
  <si>
    <t>Explicit HA capacity rule</t>
  </si>
  <si>
    <t>IN-017</t>
  </si>
  <si>
    <t>DR Requirement</t>
  </si>
  <si>
    <t>Warm DR</t>
  </si>
  <si>
    <t>Determines DR capacity requirement</t>
  </si>
  <si>
    <t>DR quantity</t>
  </si>
  <si>
    <t>IN-018</t>
  </si>
  <si>
    <t>DR Compute Capacity</t>
  </si>
  <si>
    <t>% of production</t>
  </si>
  <si>
    <t>Percentage</t>
  </si>
  <si>
    <t>Explicit DR compute ratio</t>
  </si>
  <si>
    <t>0-100%</t>
  </si>
  <si>
    <t>IN-019</t>
  </si>
  <si>
    <t>Planning Period</t>
  </si>
  <si>
    <t>years</t>
  </si>
  <si>
    <t>Sets future capacity horizon</t>
  </si>
  <si>
    <t>&gt;=1</t>
  </si>
  <si>
    <t>Growth quantity</t>
  </si>
  <si>
    <t>IN-020</t>
  </si>
  <si>
    <t>Annual Workload Growth</t>
  </si>
  <si>
    <t>%</t>
  </si>
  <si>
    <t>Drives future compute demand</t>
  </si>
  <si>
    <t>IN-021</t>
  </si>
  <si>
    <t>Annual Data Growth</t>
  </si>
  <si>
    <t>Drives future storage demand</t>
  </si>
  <si>
    <t>Storage quantity</t>
  </si>
  <si>
    <t>IN-022</t>
  </si>
  <si>
    <t>System Prompt Tokens</t>
  </si>
  <si>
    <t>tokens/call</t>
  </si>
  <si>
    <t>Governed planning input</t>
  </si>
  <si>
    <t>Required for context calculation</t>
  </si>
  <si>
    <t>Planning - replace with tokenizer measurement</t>
  </si>
  <si>
    <t>Context window</t>
  </si>
  <si>
    <t>Planning</t>
  </si>
  <si>
    <t>Selected-model tokenizer</t>
  </si>
  <si>
    <t>IN-023</t>
  </si>
  <si>
    <t>Formatting Overhead per Turn</t>
  </si>
  <si>
    <t>tokens/turn</t>
  </si>
  <si>
    <t>Required for history tokens</t>
  </si>
  <si>
    <t>Prompt-template measurement</t>
  </si>
  <si>
    <t>IN-024</t>
  </si>
  <si>
    <t>Average Retrieved Chunk Tokens</t>
  </si>
  <si>
    <t>tokens/chunk</t>
  </si>
  <si>
    <t>Required for retrieved context</t>
  </si>
  <si>
    <t>IN-025</t>
  </si>
  <si>
    <t>Average Tool Result Tokens</t>
  </si>
  <si>
    <t>tokens/tool call</t>
  </si>
  <si>
    <t>Required for tool context</t>
  </si>
  <si>
    <t>Planning - replace with payload measurement</t>
  </si>
  <si>
    <t>Tool payload measurement</t>
  </si>
  <si>
    <t>IN-026</t>
  </si>
  <si>
    <t>Model Override</t>
  </si>
  <si>
    <t>Model ID</t>
  </si>
  <si>
    <t>Optional</t>
  </si>
  <si>
    <t>Allows governed manual selection</t>
  </si>
  <si>
    <t>Override reason required</t>
  </si>
  <si>
    <t>IN-027</t>
  </si>
  <si>
    <t>Override Reason</t>
  </si>
  <si>
    <t>text</t>
  </si>
  <si>
    <t>Text</t>
  </si>
  <si>
    <t>Documents any manual override</t>
  </si>
  <si>
    <t>Auditability</t>
  </si>
  <si>
    <t>IN-028</t>
  </si>
  <si>
    <t>Validated Model Calls per Request</t>
  </si>
  <si>
    <t>Converts business requests into actual model-serving demand</t>
  </si>
  <si>
    <t>Planning - replace with workflow trace</t>
  </si>
  <si>
    <t>RPS, prefill and decode capacity</t>
  </si>
  <si>
    <t>Workflow execution trace</t>
  </si>
  <si>
    <t>Model and Workload Mapping Catalog</t>
  </si>
  <si>
    <t>AI Model Master</t>
  </si>
  <si>
    <t>Model Family</t>
  </si>
  <si>
    <t>Model Name / Version</t>
  </si>
  <si>
    <t>Parameters B</t>
  </si>
  <si>
    <t>Architecture</t>
  </si>
  <si>
    <t>Context Window Tokens</t>
  </si>
  <si>
    <t>Supported Languages</t>
  </si>
  <si>
    <t>RAG Fit</t>
  </si>
  <si>
    <t>Tool Calling</t>
  </si>
  <si>
    <t>Structured Output</t>
  </si>
  <si>
    <t>On-Prem Eligible</t>
  </si>
  <si>
    <t>Weights Available</t>
  </si>
  <si>
    <t>Licence</t>
  </si>
  <si>
    <t>Commercial Use</t>
  </si>
  <si>
    <t>Serving Frameworks</t>
  </si>
  <si>
    <t>Model Source URL</t>
  </si>
  <si>
    <t>Source Status</t>
  </si>
  <si>
    <t>Quality Evidence Status</t>
  </si>
  <si>
    <t>Catalog Status</t>
  </si>
  <si>
    <t>Review Note</t>
  </si>
  <si>
    <t>Domain Quality</t>
  </si>
  <si>
    <t>Language Test</t>
  </si>
  <si>
    <t>Groundedness</t>
  </si>
  <si>
    <t>Tool Reliability</t>
  </si>
  <si>
    <t>JSON Reliability</t>
  </si>
  <si>
    <t>Context Test</t>
  </si>
  <si>
    <t>Production Model Status</t>
  </si>
  <si>
    <t>MOD-001</t>
  </si>
  <si>
    <t>Llama</t>
  </si>
  <si>
    <t>Llama 3.1 8B Instruct</t>
  </si>
  <si>
    <t>Dense decoder</t>
  </si>
  <si>
    <t>English, German, French, Italian, Portuguese, Hindi, Spanish, Thai</t>
  </si>
  <si>
    <t>Yes</t>
  </si>
  <si>
    <t>Llama 3.1 Community License</t>
  </si>
  <si>
    <t>Review required</t>
  </si>
  <si>
    <t>NVIDIA NIM; vLLM; TensorRT-LLM</t>
  </si>
  <si>
    <t>https://github.com/meta-llama/llama-models/blob/main/models/llama3_1/MODEL_CARD.md</t>
  </si>
  <si>
    <t>Source-backed</t>
  </si>
  <si>
    <t>Banking evaluation required</t>
  </si>
  <si>
    <t>Active</t>
  </si>
  <si>
    <t>Candidate, not automatic final selection</t>
  </si>
  <si>
    <t>Planning Threshold Met</t>
  </si>
  <si>
    <t>Candidate Model</t>
  </si>
  <si>
    <t>MOD-002</t>
  </si>
  <si>
    <t>Llama 3.1 70B Instruct</t>
  </si>
  <si>
    <t>Large model; benchmark and precision required</t>
  </si>
  <si>
    <t>MOD-003</t>
  </si>
  <si>
    <t>Llama 3.3 70B Instruct</t>
  </si>
  <si>
    <t>Llama 3.3 Community License</t>
  </si>
  <si>
    <t>https://github.com/meta-llama/llama-models/blob/main/models/llama3_3/MODEL_CARD.md</t>
  </si>
  <si>
    <t>Published NVIDIA NIM profiles available</t>
  </si>
  <si>
    <t>MOD-004</t>
  </si>
  <si>
    <t>Qwen</t>
  </si>
  <si>
    <t>Qwen2.5 7B Instruct</t>
  </si>
  <si>
    <t>Multilingual; validate required language</t>
  </si>
  <si>
    <t>Apache-2.0</t>
  </si>
  <si>
    <t>vLLM; SGLang; Transformers</t>
  </si>
  <si>
    <t>https://huggingface.co/collections/Qwen/qwen25</t>
  </si>
  <si>
    <t>Check deployed context profile</t>
  </si>
  <si>
    <t>MOD-005</t>
  </si>
  <si>
    <t>Qwen2.5 14B Instruct</t>
  </si>
  <si>
    <t>https://huggingface.co/Qwen/Qwen2.5-14B-Instruct</t>
  </si>
  <si>
    <t>Good middle candidate subject to evaluation</t>
  </si>
  <si>
    <t>MOD-006</t>
  </si>
  <si>
    <t>Qwen2.5 32B Instruct</t>
  </si>
  <si>
    <t>Advanced candidate; benchmark required</t>
  </si>
  <si>
    <t>MOD-007</t>
  </si>
  <si>
    <t>Qwen2.5 72B Instruct</t>
  </si>
  <si>
    <t>Qwen licence</t>
  </si>
  <si>
    <t>Review</t>
  </si>
  <si>
    <t>Licence and benchmark review</t>
  </si>
  <si>
    <t>MOD-008</t>
  </si>
  <si>
    <t>Mistral</t>
  </si>
  <si>
    <t>Mistral Small 3 24B Instruct</t>
  </si>
  <si>
    <t>Multilingual; see model card</t>
  </si>
  <si>
    <t>vLLM; Mistral inference</t>
  </si>
  <si>
    <t>https://huggingface.co/mistralai/Mistral-Small-24B-Instruct-2501</t>
  </si>
  <si>
    <t>32K context</t>
  </si>
  <si>
    <t>MOD-009</t>
  </si>
  <si>
    <t>Mistral Small 3.1 24B Instruct</t>
  </si>
  <si>
    <t>Dense multimodal</t>
  </si>
  <si>
    <t>24 languages including English, Hindi, Bengali, Arabic and Chinese</t>
  </si>
  <si>
    <t>https://huggingface.co/mistralai/Mistral-Small-3.1-24B-Instruct-2503</t>
  </si>
  <si>
    <t>Long-context multilingual candidate</t>
  </si>
  <si>
    <t>MOD-010</t>
  </si>
  <si>
    <t>Embedding</t>
  </si>
  <si>
    <t>NV-Embed-e5-v5</t>
  </si>
  <si>
    <t>Data Required</t>
  </si>
  <si>
    <t>Embedding encoder</t>
  </si>
  <si>
    <t>Model specific</t>
  </si>
  <si>
    <t>Multilingual; verify model card</t>
  </si>
  <si>
    <t>Embedding only</t>
  </si>
  <si>
    <t>No</t>
  </si>
  <si>
    <t>Vector output</t>
  </si>
  <si>
    <t>Model terms review</t>
  </si>
  <si>
    <t>NVIDIA NIM</t>
  </si>
  <si>
    <t>https://docs.omniverse.nvidia.com/services/latest/services/usd-code/support-matrix.html</t>
  </si>
  <si>
    <t>Retrieval evaluation required</t>
  </si>
  <si>
    <t>Use for embedding tower, not text generation</t>
  </si>
  <si>
    <t>Workload Rule Catalog</t>
  </si>
  <si>
    <t>Workload / Use Case</t>
  </si>
  <si>
    <t>Required Context Tier</t>
  </si>
  <si>
    <t>Tool Calls / Request</t>
  </si>
  <si>
    <t>Language Tier</t>
  </si>
  <si>
    <t>Minimum Capability Requirement</t>
  </si>
  <si>
    <t>Preferred Model Size Class</t>
  </si>
  <si>
    <t>Model Selection Rule</t>
  </si>
  <si>
    <t>Knowledge Base Role</t>
  </si>
  <si>
    <t>GPU Workload Class</t>
  </si>
  <si>
    <t>Production Evidence Required</t>
  </si>
  <si>
    <t>Status</t>
  </si>
  <si>
    <t>Notes</t>
  </si>
  <si>
    <t>WRK-001</t>
  </si>
  <si>
    <t>Embedding generation</t>
  </si>
  <si>
    <t>Model-specific</t>
  </si>
  <si>
    <t>None</t>
  </si>
  <si>
    <t>Any evaluated</t>
  </si>
  <si>
    <t>Embedding model</t>
  </si>
  <si>
    <t>Select embedding model by language, dimension, quality and throughput</t>
  </si>
  <si>
    <t>Drives vector count and embedding volume</t>
  </si>
  <si>
    <t>Embedding / efficient inference</t>
  </si>
  <si>
    <t>Embedding throughput benchmark</t>
  </si>
  <si>
    <t>Does not select generation LLM</t>
  </si>
  <si>
    <t>WRK-002</t>
  </si>
  <si>
    <t>RAG chatbot - light</t>
  </si>
  <si>
    <t>Short / Detailed</t>
  </si>
  <si>
    <t>CTX1 &lt;= 8K</t>
  </si>
  <si>
    <t>None / Basic</t>
  </si>
  <si>
    <t>0-1</t>
  </si>
  <si>
    <t>English or evaluated language</t>
  </si>
  <si>
    <t>RAG + optional basic tools</t>
  </si>
  <si>
    <t>7B-14B candidate</t>
  </si>
  <si>
    <t>Choose smallest model passing quality, context and language tests</t>
  </si>
  <si>
    <t>Drives vector DB and storage, not direct LLM size</t>
  </si>
  <si>
    <t>Efficient inference</t>
  </si>
  <si>
    <t>Banking quality + matched GPU benchmark</t>
  </si>
  <si>
    <t>Typical L4/L40S candidate after benchmark</t>
  </si>
  <si>
    <t>WRK-003</t>
  </si>
  <si>
    <t>RAG chatbot - medium</t>
  </si>
  <si>
    <t>CTX2 &lt;= 32K</t>
  </si>
  <si>
    <t>Basic / Moderate</t>
  </si>
  <si>
    <t>1-4</t>
  </si>
  <si>
    <t>English or evaluated multilingual</t>
  </si>
  <si>
    <t>RAG + tools + structured output</t>
  </si>
  <si>
    <t>14B-32B candidate</t>
  </si>
  <si>
    <t>Compare 14B, 24B and 32B candidates by banking evaluation</t>
  </si>
  <si>
    <t>Separate RAG infrastructure sizing</t>
  </si>
  <si>
    <t>Generative AI inference</t>
  </si>
  <si>
    <t>Often L40S/H100/H200 candidate depending SLA</t>
  </si>
  <si>
    <t>WRK-004</t>
  </si>
  <si>
    <t>RAG chatbot - advanced</t>
  </si>
  <si>
    <t>Complex</t>
  </si>
  <si>
    <t>Analytical</t>
  </si>
  <si>
    <t>CTX3 &lt;= 64K</t>
  </si>
  <si>
    <t>Moderate / Advanced</t>
  </si>
  <si>
    <t>2-5</t>
  </si>
  <si>
    <t>Evaluated multilingual</t>
  </si>
  <si>
    <t>Advanced reasoning + tools</t>
  </si>
  <si>
    <t>24B-70B candidate</t>
  </si>
  <si>
    <t>Select model only after quality and long-context evaluation</t>
  </si>
  <si>
    <t>High-intensity inference</t>
  </si>
  <si>
    <t>Banking quality + exact workload benchmark</t>
  </si>
  <si>
    <t>Multi-GPU may be required</t>
  </si>
  <si>
    <t>WRK-005</t>
  </si>
  <si>
    <t>Long-context document assistant</t>
  </si>
  <si>
    <t>Medium / Complex</t>
  </si>
  <si>
    <t>Detailed / Analytical</t>
  </si>
  <si>
    <t>CTX4 &lt;= 128K</t>
  </si>
  <si>
    <t>0-4</t>
  </si>
  <si>
    <t>Long context + RAG</t>
  </si>
  <si>
    <t>24B-70B long-context candidate</t>
  </si>
  <si>
    <t>Filter context first, then quality and benchmark</t>
  </si>
  <si>
    <t>Large KB remains storage driver</t>
  </si>
  <si>
    <t>Memory-heavy inference</t>
  </si>
  <si>
    <t>Long-context quality + KV cache benchmark</t>
  </si>
  <si>
    <t>H200/MI300X type capacity may help</t>
  </si>
  <si>
    <t>WRK-006</t>
  </si>
  <si>
    <t>Agentic banking assistant</t>
  </si>
  <si>
    <t>CTX2-CTX4</t>
  </si>
  <si>
    <t>Advanced</t>
  </si>
  <si>
    <t>5+</t>
  </si>
  <si>
    <t>Reliable tool calling + JSON + reasoning</t>
  </si>
  <si>
    <t>Require tool-call and workflow evaluation</t>
  </si>
  <si>
    <t>Tool payloads increase context, not KB size</t>
  </si>
  <si>
    <t>Workflow trace + matched concurrency benchmark</t>
  </si>
  <si>
    <t>Model calls and tool calls separate</t>
  </si>
  <si>
    <t>WRK-007</t>
  </si>
  <si>
    <t>Batch summarization</t>
  </si>
  <si>
    <t>Report</t>
  </si>
  <si>
    <t>Evaluated language</t>
  </si>
  <si>
    <t>Long output + batch throughput</t>
  </si>
  <si>
    <t>14B-70B candidate</t>
  </si>
  <si>
    <t>Rank by quality and offline throughput</t>
  </si>
  <si>
    <t>Input dataset affects batch storage</t>
  </si>
  <si>
    <t>Batch inference</t>
  </si>
  <si>
    <t>Offline throughput benchmark</t>
  </si>
  <si>
    <t>Latency may be relaxed</t>
  </si>
  <si>
    <t>WRK-008</t>
  </si>
  <si>
    <t>LoRA / QLoRA fine-tuning</t>
  </si>
  <si>
    <t>Model dependent</t>
  </si>
  <si>
    <t>Sequence length dependent</t>
  </si>
  <si>
    <t>PEFT support</t>
  </si>
  <si>
    <t>Selected base model</t>
  </si>
  <si>
    <t>GPU selection uses weights, gradients/optimizer/activations and method</t>
  </si>
  <si>
    <t>Dataset size drives training storage</t>
  </si>
  <si>
    <t>Fine-tuning</t>
  </si>
  <si>
    <t>Training memory and completion-time benchmark</t>
  </si>
  <si>
    <t>Inference mapping cannot size fine-tuning</t>
  </si>
  <si>
    <t>WRK-009</t>
  </si>
  <si>
    <t>Full fine-tuning</t>
  </si>
  <si>
    <t>Distributed training</t>
  </si>
  <si>
    <t>Use separate training calculation and distributed strategy</t>
  </si>
  <si>
    <t>Dataset/checkpoint storage</t>
  </si>
  <si>
    <t>Training</t>
  </si>
  <si>
    <t>Distributed training benchmark</t>
  </si>
  <si>
    <t>High-memory multi-GPU fabric required</t>
  </si>
  <si>
    <t>WRK-010</t>
  </si>
  <si>
    <t>Foundation model training</t>
  </si>
  <si>
    <t>Target architecture</t>
  </si>
  <si>
    <t>Training sequence length</t>
  </si>
  <si>
    <t>Training corpus</t>
  </si>
  <si>
    <t>Distributed pretraining</t>
  </si>
  <si>
    <t>Custom target</t>
  </si>
  <si>
    <t>Do not use inference sizing logic</t>
  </si>
  <si>
    <t>Corpus and checkpoint storage dominate</t>
  </si>
  <si>
    <t>Large-scale training</t>
  </si>
  <si>
    <t>End-to-end training plan and benchmark</t>
  </si>
  <si>
    <t>Separate project branch</t>
  </si>
  <si>
    <t>WRK-011</t>
  </si>
  <si>
    <t>Multimodal assistant</t>
  </si>
  <si>
    <t>Vision + text + structured output</t>
  </si>
  <si>
    <t>Multimodal model</t>
  </si>
  <si>
    <t>Filter multimodal capability, context, language and on-prem eligibility</t>
  </si>
  <si>
    <t>Image/data storage branch</t>
  </si>
  <si>
    <t>Multimodal inference</t>
  </si>
  <si>
    <t>Vision quality and GPU benchmark</t>
  </si>
  <si>
    <t>Not applicable to predictive ML</t>
  </si>
  <si>
    <t>Model-to-GPU Mapping Catalog</t>
  </si>
  <si>
    <t>Mapping ID</t>
  </si>
  <si>
    <t>Model Name</t>
  </si>
  <si>
    <t>Precision</t>
  </si>
  <si>
    <t>Bytes / Parameter</t>
  </si>
  <si>
    <t>Model Weight Memory GB</t>
  </si>
  <si>
    <t>Runtime + KV Memory GB</t>
  </si>
  <si>
    <t>Total Required VRAM GB</t>
  </si>
  <si>
    <t>GPU ID</t>
  </si>
  <si>
    <t>GPU Vendor</t>
  </si>
  <si>
    <t>GPU SKU</t>
  </si>
  <si>
    <t>GPU VRAM GB</t>
  </si>
  <si>
    <t>Weights-Only Minimum GPUs</t>
  </si>
  <si>
    <t>Production Minimum GPUs</t>
  </si>
  <si>
    <t>Dell Compatibility ID</t>
  </si>
  <si>
    <t>Dell Server Pair</t>
  </si>
  <si>
    <t>Dell Pairing Status</t>
  </si>
  <si>
    <t>Framework / Profile</t>
  </si>
  <si>
    <t>Tensor Parallelism</t>
  </si>
  <si>
    <t>Context / Concurrency Condition</t>
  </si>
  <si>
    <t>Mapping Evidence</t>
  </si>
  <si>
    <t>Benchmark Status</t>
  </si>
  <si>
    <t>Fit Status</t>
  </si>
  <si>
    <t>Mapping Source URL</t>
  </si>
  <si>
    <t>Selection Key</t>
  </si>
  <si>
    <t>Priority</t>
  </si>
  <si>
    <t>Benchmark ID</t>
  </si>
  <si>
    <t>Benchmark Match Type</t>
  </si>
  <si>
    <t>Benchmark Confidence</t>
  </si>
  <si>
    <t>Production Mapping Status</t>
  </si>
  <si>
    <t>MGPU-001</t>
  </si>
  <si>
    <t>RAG Inference</t>
  </si>
  <si>
    <t>BF16</t>
  </si>
  <si>
    <t>GPU-NV-001</t>
  </si>
  <si>
    <t>NVIDIA</t>
  </si>
  <si>
    <t>L4</t>
  </si>
  <si>
    <t>CMP-010</t>
  </si>
  <si>
    <t>PowerEdge XE7745</t>
  </si>
  <si>
    <t>Confirmed example</t>
  </si>
  <si>
    <t>NVIDIA NIM / generic profile</t>
  </si>
  <si>
    <t>Must match measured input/output tokens, concurrency and SLA</t>
  </si>
  <si>
    <t>NIM memory guideline and Dell GPU compatibility</t>
  </si>
  <si>
    <t>Benchmark Required</t>
  </si>
  <si>
    <t>https://docs.nvidia.com/nim/large-language-models/latest/reference/support-matrix.html</t>
  </si>
  <si>
    <t>Benchmark required for RPS/TTFT</t>
  </si>
  <si>
    <t>BM-PROXY-L4</t>
  </si>
  <si>
    <t>Nearest Planning Proxy</t>
  </si>
  <si>
    <t>Low</t>
  </si>
  <si>
    <t>MGPU-002</t>
  </si>
  <si>
    <t>GPU-NV-002</t>
  </si>
  <si>
    <t>L40S</t>
  </si>
  <si>
    <t>CMP-001</t>
  </si>
  <si>
    <t>PowerEdge R760xa</t>
  </si>
  <si>
    <t>Confirmed</t>
  </si>
  <si>
    <t>NVIDIA NIM optimized/generic</t>
  </si>
  <si>
    <t>NIM supports Llama 8B profiles; Dell supports L40S</t>
  </si>
  <si>
    <t>Preferred candidate only after matched benchmark</t>
  </si>
  <si>
    <t>BM-PROXY-L40S</t>
  </si>
  <si>
    <t>MGPU-003</t>
  </si>
  <si>
    <t>vLLM / SGLang</t>
  </si>
  <si>
    <t>Model-card framework support plus memory fit</t>
  </si>
  <si>
    <t>Performance benchmark required</t>
  </si>
  <si>
    <t>MGPU-004</t>
  </si>
  <si>
    <t>KV cache and concurrency may increase GPU count</t>
  </si>
  <si>
    <t>MGPU-005</t>
  </si>
  <si>
    <t>Mistral Small 3 24B</t>
  </si>
  <si>
    <t>INT8</t>
  </si>
  <si>
    <t>vLLM</t>
  </si>
  <si>
    <t>Model fits weights-only; quantization quality validation required</t>
  </si>
  <si>
    <t>Production benchmark required</t>
  </si>
  <si>
    <t>MGPU-006</t>
  </si>
  <si>
    <t>Mistral Small 3.1 24B</t>
  </si>
  <si>
    <t>Long-context RAG Inference</t>
  </si>
  <si>
    <t>Weights-only candidate; 128K KV cache can dominate</t>
  </si>
  <si>
    <t>Long-context benchmark required</t>
  </si>
  <si>
    <t>MGPU-007</t>
  </si>
  <si>
    <t>GPU-NV-003</t>
  </si>
  <si>
    <t>H100 PCIe 80GB</t>
  </si>
  <si>
    <t>CMP-002</t>
  </si>
  <si>
    <t>Weights-only fit; framework and quality source</t>
  </si>
  <si>
    <t>MGPU-008</t>
  </si>
  <si>
    <t>FP8</t>
  </si>
  <si>
    <t>NVIDIA NIM FP8 profile</t>
  </si>
  <si>
    <t>NIM has FP8 TP profiles; memory headroom must be validated</t>
  </si>
  <si>
    <t>Production likely needs topology based on KV/cache and SLA</t>
  </si>
  <si>
    <t>MGPU-009</t>
  </si>
  <si>
    <t>GPU-NV-004</t>
  </si>
  <si>
    <t>H100 SXM5 80GB</t>
  </si>
  <si>
    <t>CMP-003</t>
  </si>
  <si>
    <t>PowerEdge XE8640</t>
  </si>
  <si>
    <t>NVIDIA NIM FP8 TP2/TP4</t>
  </si>
  <si>
    <t>NIM provides supported FP8 TP profiles; Dell fixed H100 platform</t>
  </si>
  <si>
    <t>Use matched token-shape benchmark</t>
  </si>
  <si>
    <t>BM-H100-5K500-C50</t>
  </si>
  <si>
    <t>Exact Published</t>
  </si>
  <si>
    <t>Production Candidate</t>
  </si>
  <si>
    <t>MGPU-010</t>
  </si>
  <si>
    <t>GPU-NV-006</t>
  </si>
  <si>
    <t>H200 SXM5 141GB</t>
  </si>
  <si>
    <t>CMP-005</t>
  </si>
  <si>
    <t>PowerEdge XE9680</t>
  </si>
  <si>
    <t>NVIDIA NIM FP8</t>
  </si>
  <si>
    <t>NIM/H200 support and Dell pairing</t>
  </si>
  <si>
    <t>XE9680 is fixed 8-GPU; quantity comes from complete server config</t>
  </si>
  <si>
    <t>BM-PROXY-H200</t>
  </si>
  <si>
    <t>MGPU-011</t>
  </si>
  <si>
    <t>NVIDIA NIM BF16 TP2+</t>
  </si>
  <si>
    <t>NIM BF16 TP profiles; weight memory approximately 140 GB before runtime</t>
  </si>
  <si>
    <t>Runtime/KV prevents relying on one-GPU arithmetic</t>
  </si>
  <si>
    <t>MGPU-012</t>
  </si>
  <si>
    <t>INT4</t>
  </si>
  <si>
    <t>GPU-AMD-002</t>
  </si>
  <si>
    <t>AMD</t>
  </si>
  <si>
    <t>Instinct MI300X</t>
  </si>
  <si>
    <t>CMP-006</t>
  </si>
  <si>
    <t>ROCm / llama.cpp / vLLM</t>
  </si>
  <si>
    <t>AMD reports 70B+ model capability; exact configuration benchmark required</t>
  </si>
  <si>
    <t>https://rocm.blogs.amd.com/ecosystems-and-partners/llama-cpp-oct2025/README.html</t>
  </si>
  <si>
    <t>Quantization quality and ROCm serving benchmark required</t>
  </si>
  <si>
    <t>MGPU-013</t>
  </si>
  <si>
    <t>ROCm / vLLM</t>
  </si>
  <si>
    <t>AMD states MI300X 192GB can support up to 80B parameter models on one GPU</t>
  </si>
  <si>
    <t>https://www.amd.com/en/blogs/2024/supercharge-your-llms-with-amd-instinct-mi300x-ac.html</t>
  </si>
  <si>
    <t>KV cache and concurrency still require benchmark</t>
  </si>
  <si>
    <t>MGPU-014</t>
  </si>
  <si>
    <t>Agentic RAG Inference</t>
  </si>
  <si>
    <t>GPU-NV-007</t>
  </si>
  <si>
    <t>H200 NVL 141GB</t>
  </si>
  <si>
    <t>CMP-009</t>
  </si>
  <si>
    <t>Pair review required</t>
  </si>
  <si>
    <t>NVIDIA NIM / vLLM</t>
  </si>
  <si>
    <t>NIM hardware family support; Dell exact pairing review required</t>
  </si>
  <si>
    <t>Do not auto-select until Dell pairing confirmed</t>
  </si>
  <si>
    <t>MGPU-015</t>
  </si>
  <si>
    <t>LoRA Fine-Tuning</t>
  </si>
  <si>
    <t>PEFT / framework-specific</t>
  </si>
  <si>
    <t>Weights fit only; fine-tuning memory depends on method and batch</t>
  </si>
  <si>
    <t>Training memory benchmark required</t>
  </si>
  <si>
    <t>MGPU-016</t>
  </si>
  <si>
    <t>QLoRA Fine-Tuning</t>
  </si>
  <si>
    <t>GPU-NV-008</t>
  </si>
  <si>
    <t>RTX PRO 6000 Blackwell Server Edition</t>
  </si>
  <si>
    <t>CMP-008</t>
  </si>
  <si>
    <t>Weights-only fit and Dell compatibility</t>
  </si>
  <si>
    <t>https://www.delltechnologies.com/assetlink/doc/en-us/poweredge-server-gpu-matrix-en-dl1h9a2-original.pdf</t>
  </si>
  <si>
    <t>Batch/sequence/completion-time benchmark required</t>
  </si>
  <si>
    <t>BM-PROXY-RTX6K</t>
  </si>
  <si>
    <t>MGPU-017</t>
  </si>
  <si>
    <t>Full Fine-Tuning</t>
  </si>
  <si>
    <t>GPU-NV-010</t>
  </si>
  <si>
    <t>B200 SXM6 180GB</t>
  </si>
  <si>
    <t>CMP-011</t>
  </si>
  <si>
    <t>PowerEdge XE9780</t>
  </si>
  <si>
    <t>Distributed training stack</t>
  </si>
  <si>
    <t>8</t>
  </si>
  <si>
    <t>Dell B200 platform plus model size; training benchmark required</t>
  </si>
  <si>
    <t>https://www.dell.com/en-us/shop/ipovw/poweredge-xe9780</t>
  </si>
  <si>
    <t>Optimizer, gradients, activations and fabric determine quantity</t>
  </si>
  <si>
    <t>BM-PROXY-B200</t>
  </si>
  <si>
    <t>MGPU-018</t>
  </si>
  <si>
    <t>GPU-AMD-004</t>
  </si>
  <si>
    <t>Instinct MI355X Air-Cooled</t>
  </si>
  <si>
    <t>CMP-013</t>
  </si>
  <si>
    <t>PowerEdge XE9785</t>
  </si>
  <si>
    <t>ROCm distributed training</t>
  </si>
  <si>
    <t>Dell MI355X platform; training stack validation required</t>
  </si>
  <si>
    <t>https://www.dell.com/en-us/shop/ipovw/poweredge-xe9785</t>
  </si>
  <si>
    <t>No training quantity conclusion without benchmark</t>
  </si>
  <si>
    <t>MGPU-019</t>
  </si>
  <si>
    <t>Embedding Generation</t>
  </si>
  <si>
    <t>NVIDIA NIM embedding profile</t>
  </si>
  <si>
    <t>Omniverse support matrix lists L4 optimized embedding configuration</t>
  </si>
  <si>
    <t>Embedding throughput benchmark required</t>
  </si>
  <si>
    <t>MGPU-020</t>
  </si>
  <si>
    <t>Omniverse support matrix lists L40S optimized embedding configuration</t>
  </si>
  <si>
    <t>MGPU-021</t>
  </si>
  <si>
    <t>Measured workflow/token shape/concurrency required</t>
  </si>
  <si>
    <t>NIM + Dell compatibility</t>
  </si>
  <si>
    <t>Agentic benchmark required</t>
  </si>
  <si>
    <t>MGPU-022</t>
  </si>
  <si>
    <t>Batch Inference</t>
  </si>
  <si>
    <t>Batch throughput benchmark required</t>
  </si>
  <si>
    <t>Model card + Dell compatibility</t>
  </si>
  <si>
    <t>Offline throughput required</t>
  </si>
  <si>
    <t>MGPU-023</t>
  </si>
  <si>
    <t>Computer Vision / Multimodal</t>
  </si>
  <si>
    <t>Vision benchmark and exact Dell configuration required</t>
  </si>
  <si>
    <t>Multimodal candidate</t>
  </si>
  <si>
    <t>Input to Workload and Model Selection</t>
  </si>
  <si>
    <t>Formula ID</t>
  </si>
  <si>
    <t>Derived Requirement</t>
  </si>
  <si>
    <t>Formula / Rule</t>
  </si>
  <si>
    <t>Decision Impact</t>
  </si>
  <si>
    <t>TOK-001</t>
  </si>
  <si>
    <t>Query Tokens</t>
  </si>
  <si>
    <t>Governed planning map</t>
  </si>
  <si>
    <t>Selected-model tokenizer P95</t>
  </si>
  <si>
    <t>Context / prefill</t>
  </si>
  <si>
    <t>Not a universal constant</t>
  </si>
  <si>
    <t>TOK-002</t>
  </si>
  <si>
    <t>Output Tokens</t>
  </si>
  <si>
    <t>Measured P95 output</t>
  </si>
  <si>
    <t>Context / decode</t>
  </si>
  <si>
    <t>TOK-003</t>
  </si>
  <si>
    <t>Retained Turns</t>
  </si>
  <si>
    <t>turns</t>
  </si>
  <si>
    <t>Session traces</t>
  </si>
  <si>
    <t>History / KV cache</t>
  </si>
  <si>
    <t>RAG-001</t>
  </si>
  <si>
    <t>Retrieved Chunks</t>
  </si>
  <si>
    <t>chunks/call</t>
  </si>
  <si>
    <t>RAG-only planning map</t>
  </si>
  <si>
    <t>RAG evaluation</t>
  </si>
  <si>
    <t>Retrieved context</t>
  </si>
  <si>
    <t>Non-RAG returns zero</t>
  </si>
  <si>
    <t>TOK-004</t>
  </si>
  <si>
    <t>Conversation History Tokens</t>
  </si>
  <si>
    <t>Turns x completed-turn token components</t>
  </si>
  <si>
    <t>Calculated</t>
  </si>
  <si>
    <t>Tokenizer/session trace</t>
  </si>
  <si>
    <t>RAG-002</t>
  </si>
  <si>
    <t>Retrieved Context Tokens</t>
  </si>
  <si>
    <t>Chunks x chunk tokens</t>
  </si>
  <si>
    <t>Tokenizer measurement</t>
  </si>
  <si>
    <t>AGT-001</t>
  </si>
  <si>
    <t>Tool Result Tokens</t>
  </si>
  <si>
    <t>tokens/request</t>
  </si>
  <si>
    <t>Tool calls x result tokens</t>
  </si>
  <si>
    <t>Payload trace</t>
  </si>
  <si>
    <t>Context / network</t>
  </si>
  <si>
    <t>TOK-005</t>
  </si>
  <si>
    <t>Input Tokens per Model Call</t>
  </si>
  <si>
    <t>System + query + history + retrieval + tools</t>
  </si>
  <si>
    <t>Measured P95 trace</t>
  </si>
  <si>
    <t>Benchmark token shape</t>
  </si>
  <si>
    <t>TOK-006</t>
  </si>
  <si>
    <t>Required Context Window</t>
  </si>
  <si>
    <t>tokens</t>
  </si>
  <si>
    <t>Input tokens + output allowance</t>
  </si>
  <si>
    <t>Model eligibility</t>
  </si>
  <si>
    <t>DEM-001</t>
  </si>
  <si>
    <t>Model Calls per Second</t>
  </si>
  <si>
    <t>calls/sec</t>
  </si>
  <si>
    <t>Business RPS x validated model calls/request</t>
  </si>
  <si>
    <t>Workflow trace</t>
  </si>
  <si>
    <t>Throughput</t>
  </si>
  <si>
    <t>DEM-002</t>
  </si>
  <si>
    <t>Required Input Tokens per Second</t>
  </si>
  <si>
    <t>tokens/sec</t>
  </si>
  <si>
    <t>Model calls/sec x input tokens/call</t>
  </si>
  <si>
    <t>Measured workload</t>
  </si>
  <si>
    <t>Prefill GPUs</t>
  </si>
  <si>
    <t>DEM-003</t>
  </si>
  <si>
    <t>Required Output Tokens per Second</t>
  </si>
  <si>
    <t>Model calls/sec x output tokens/call</t>
  </si>
  <si>
    <t>Decode GPUs</t>
  </si>
  <si>
    <t>DEM-004</t>
  </si>
  <si>
    <t>Peak Active Sequences</t>
  </si>
  <si>
    <t>sequences</t>
  </si>
  <si>
    <t>Peak concurrent sessions</t>
  </si>
  <si>
    <t>Load test</t>
  </si>
  <si>
    <t>Concurrency GPUs</t>
  </si>
  <si>
    <t>Context Tier</t>
  </si>
  <si>
    <t>tier</t>
  </si>
  <si>
    <t>Non-overlapping context bands</t>
  </si>
  <si>
    <t>Workload Rule</t>
  </si>
  <si>
    <t>ID</t>
  </si>
  <si>
    <t>Workload, context, complexity and tools</t>
  </si>
  <si>
    <t>Catalog extension when needed</t>
  </si>
  <si>
    <t>Candidate model</t>
  </si>
  <si>
    <t>Not limited to RAG</t>
  </si>
  <si>
    <t>Candidate Model ID</t>
  </si>
  <si>
    <t>Deterministic candidate shortlist</t>
  </si>
  <si>
    <t>Candidate</t>
  </si>
  <si>
    <t>Governed evaluation evidence</t>
  </si>
  <si>
    <t>Candidate, not approved</t>
  </si>
  <si>
    <t>Selected Model ID</t>
  </si>
  <si>
    <t>Override or candidate</t>
  </si>
  <si>
    <t>Override reason</t>
  </si>
  <si>
    <t>GPU mapping</t>
  </si>
  <si>
    <t>Override does not bypass checks</t>
  </si>
  <si>
    <t>Selected Model Name</t>
  </si>
  <si>
    <t>Model catalog lookup</t>
  </si>
  <si>
    <t>Output</t>
  </si>
  <si>
    <t>Model Context Window</t>
  </si>
  <si>
    <t>Source-Backed</t>
  </si>
  <si>
    <t>Model card</t>
  </si>
  <si>
    <t>Eligibility</t>
  </si>
  <si>
    <t>Context Eligibility</t>
  </si>
  <si>
    <t>status</t>
  </si>
  <si>
    <t>Model context &gt;= required context</t>
  </si>
  <si>
    <t>Measured context</t>
  </si>
  <si>
    <t>Hard filter</t>
  </si>
  <si>
    <t>Model Evaluation Status</t>
  </si>
  <si>
    <t>Domain/language/groundedness/tools/JSON/context/licence</t>
  </si>
  <si>
    <t>Load evaluation evidence</t>
  </si>
  <si>
    <t>Production approval</t>
  </si>
  <si>
    <t>Model Selection Status</t>
  </si>
  <si>
    <t>Combined eligibility status</t>
  </si>
  <si>
    <t>Evaluation evidence</t>
  </si>
  <si>
    <t>Final label</t>
  </si>
  <si>
    <t>Dell Hardware Mapping Catalog</t>
  </si>
  <si>
    <t>Dell Server Master</t>
  </si>
  <si>
    <t>Server ID</t>
  </si>
  <si>
    <t>Dell Server</t>
  </si>
  <si>
    <t>Generation</t>
  </si>
  <si>
    <t>CPU Platform</t>
  </si>
  <si>
    <t>CPU Sockets</t>
  </si>
  <si>
    <t>Max CPU Cores / Socket</t>
  </si>
  <si>
    <t>Max System RAM TB</t>
  </si>
  <si>
    <t>Rack Units</t>
  </si>
  <si>
    <t>Cooling</t>
  </si>
  <si>
    <t>GPU Form Factor</t>
  </si>
  <si>
    <t>Max GPU Qty</t>
  </si>
  <si>
    <t>Max GPU Power</t>
  </si>
  <si>
    <t>Max Local Storage TB</t>
  </si>
  <si>
    <t>Network / Expansion Summary</t>
  </si>
  <si>
    <t>Power Supply Summary</t>
  </si>
  <si>
    <t>Primary AI Use</t>
  </si>
  <si>
    <t>Source URL</t>
  </si>
  <si>
    <t>Price Status</t>
  </si>
  <si>
    <t>Budgetary Unit Price</t>
  </si>
  <si>
    <t>Currency</t>
  </si>
  <si>
    <t>DELL-SRV-001</t>
  </si>
  <si>
    <t>16G</t>
  </si>
  <si>
    <t>x86</t>
  </si>
  <si>
    <t>Intel Xeon Scalable 4th/5th Gen</t>
  </si>
  <si>
    <t>Air</t>
  </si>
  <si>
    <t>PCIe: up to 4 DW or up to 12 SW</t>
  </si>
  <si>
    <t>Up to 400W class</t>
  </si>
  <si>
    <t>OCP 3.0 plus PCIe Gen5 expansion; exact NIC by configured BOM</t>
  </si>
  <si>
    <t>Up to dual 2800W Titanium</t>
  </si>
  <si>
    <t>Inference, fine-tuning, VDI</t>
  </si>
  <si>
    <t>https://www.dell.com/en-us/shop/ipovw/poweredge-r760xa</t>
  </si>
  <si>
    <t>Quote Required</t>
  </si>
  <si>
    <t>USD</t>
  </si>
  <si>
    <t>DELL-SRV-002</t>
  </si>
  <si>
    <t>Intel Xeon Scalable 4th Gen</t>
  </si>
  <si>
    <t>Liquid-cooled GPU tray / air-cooled CPU</t>
  </si>
  <si>
    <t>SXM</t>
  </si>
  <si>
    <t>H100 SXM class</t>
  </si>
  <si>
    <t>High-speed GPU fabric; exact NIC by configured BOM</t>
  </si>
  <si>
    <t>Dense H100 AI training/inference</t>
  </si>
  <si>
    <t>https://infohub.delltechnologies.com/en-us/l/design-guide-generative-ai-in-the-enterprise-inferencing/dell-poweredge-servers-and-nvidia-gpus-3/</t>
  </si>
  <si>
    <t>DELL-SRV-003</t>
  </si>
  <si>
    <t>Air / configured accelerator cooling</t>
  </si>
  <si>
    <t>SXM5 / OAM</t>
  </si>
  <si>
    <t>700-900W accelerator class</t>
  </si>
  <si>
    <t>Up to 10 front-facing PCIe Gen5 slots; network options by accelerator configuration</t>
  </si>
  <si>
    <t>Configured high-density redundant power</t>
  </si>
  <si>
    <t>Large-model training and inference</t>
  </si>
  <si>
    <t>https://www.dell.com/en-us/shop/ipovw/poweredge-xe9680</t>
  </si>
  <si>
    <t>DELL-SRV-004</t>
  </si>
  <si>
    <t>17G</t>
  </si>
  <si>
    <t>AMD EPYC 9005</t>
  </si>
  <si>
    <t>PCIe Gen5: 8 DW or 16 SW</t>
  </si>
  <si>
    <t>Up to 600W DW; 75W SW</t>
  </si>
  <si>
    <t>8 additional front-serviceable PCIe slots plus OCP 3.0</t>
  </si>
  <si>
    <t>8 redundant AC/DC power supplies</t>
  </si>
  <si>
    <t>Flexible inference and fine-tuning</t>
  </si>
  <si>
    <t>https://www.dell.com/en-us/shop/ipovw/poweredge-xe7745</t>
  </si>
  <si>
    <t>DELL-SRV-005</t>
  </si>
  <si>
    <t>PowerEdge XE7740</t>
  </si>
  <si>
    <t>Intel Xeon 6</t>
  </si>
  <si>
    <t>PCIe accelerator platform</t>
  </si>
  <si>
    <t>Configuration dependent</t>
  </si>
  <si>
    <t>PCIe slot cabling per technical manual</t>
  </si>
  <si>
    <t>Flexible AI acceleration</t>
  </si>
  <si>
    <t>https://www.dell.com/support/product-details/en-us/product/poweredge-xe7740/resources/manuals</t>
  </si>
  <si>
    <t>Partial - exact GPU list requires matrix revision check</t>
  </si>
  <si>
    <t>DELL-SRV-006</t>
  </si>
  <si>
    <t>Intel Xeon Scalable 6th Gen</t>
  </si>
  <si>
    <t>SXM6 HGX</t>
  </si>
  <si>
    <t>1000-1100W GPU class</t>
  </si>
  <si>
    <t>B300: 8 embedded CX8 OSFP; B200: up to 12 PCIe Gen5 x16 cards</t>
  </si>
  <si>
    <t>12 x 3200W Titanium</t>
  </si>
  <si>
    <t>B200/B300 model training and inference</t>
  </si>
  <si>
    <t>DELL-SRV-007</t>
  </si>
  <si>
    <t>OAM / SXM6 HGX</t>
  </si>
  <si>
    <t>1100-1400W accelerator class</t>
  </si>
  <si>
    <t>B300: 8 embedded CX8 OSFP; MI355X networking configured separately</t>
  </si>
  <si>
    <t>MI355X/B300 training and inference</t>
  </si>
  <si>
    <t>Dell Server-GPU Compatibility Matrix</t>
  </si>
  <si>
    <t>Compatibility ID</t>
  </si>
  <si>
    <t>Supported Qty / Server</t>
  </si>
  <si>
    <t>Quantity Rule</t>
  </si>
  <si>
    <t>GPU VRAM GB / GPU</t>
  </si>
  <si>
    <t>Total GPU VRAM GB</t>
  </si>
  <si>
    <t>Interconnect</t>
  </si>
  <si>
    <t>Maximum GPU TDP W</t>
  </si>
  <si>
    <t>Workload Fit</t>
  </si>
  <si>
    <t>Exact Pairing Status</t>
  </si>
  <si>
    <t>Dell Evidence Type</t>
  </si>
  <si>
    <t>Dell Source URL</t>
  </si>
  <si>
    <t>Source Date / Revision</t>
  </si>
  <si>
    <t>Configuration Caveat</t>
  </si>
  <si>
    <t>Selection Priority</t>
  </si>
  <si>
    <t>Minimum Option</t>
  </si>
  <si>
    <t>Moderate Option</t>
  </si>
  <si>
    <t>Heavy Option</t>
  </si>
  <si>
    <t>Min GPU Qty</t>
  </si>
  <si>
    <t>Moderate GPU Qty</t>
  </si>
  <si>
    <t>Heavy GPU Qty</t>
  </si>
  <si>
    <t>Budgetary Base Chassis USD</t>
  </si>
  <si>
    <t>Budgetary GPU Unit USD</t>
  </si>
  <si>
    <t>Budgetary Config Price USD</t>
  </si>
  <si>
    <t>Price Confidence</t>
  </si>
  <si>
    <t>PCIe DW</t>
  </si>
  <si>
    <t>Up to 4; Dell configuration validation required for 1/2/4</t>
  </si>
  <si>
    <t>PCIe Gen5; no NVLink</t>
  </si>
  <si>
    <t>Dell design guide</t>
  </si>
  <si>
    <t>Current web design guide</t>
  </si>
  <si>
    <t>Intermediate quantities must be validated in configurator</t>
  </si>
  <si>
    <t>1 x L40S</t>
  </si>
  <si>
    <t>4 x L40S</t>
  </si>
  <si>
    <t>Move to H100/H200 platform if SLA unmet</t>
  </si>
  <si>
    <t>Up to 4; NVLink bridges pair adjacent GPUs</t>
  </si>
  <si>
    <t>PCIe Gen5; NVLink bridge pair supported</t>
  </si>
  <si>
    <t>High-intensity inference / fine-tuning</t>
  </si>
  <si>
    <t>Exact bridge topology depends on GPU count</t>
  </si>
  <si>
    <t>1 x H100 PCIe</t>
  </si>
  <si>
    <t>2 x H100 PCIe</t>
  </si>
  <si>
    <t>4 x H100 PCIe</t>
  </si>
  <si>
    <t>SXM5</t>
  </si>
  <si>
    <t>Fixed 4-GPU platform</t>
  </si>
  <si>
    <t>NVLink / NVSwitch</t>
  </si>
  <si>
    <t>Dense H100 training and inference</t>
  </si>
  <si>
    <t>Treat as complete 4-GPU configuration</t>
  </si>
  <si>
    <t>Not applicable</t>
  </si>
  <si>
    <t>4 x H100 SXM</t>
  </si>
  <si>
    <t>Scale by server count</t>
  </si>
  <si>
    <t>CMP-004</t>
  </si>
  <si>
    <t>Fixed 8-GPU HGX platform</t>
  </si>
  <si>
    <t>NVLink</t>
  </si>
  <si>
    <t>Dell product specifications</t>
  </si>
  <si>
    <t>Current product page</t>
  </si>
  <si>
    <t>Complete accelerator configuration</t>
  </si>
  <si>
    <t>8 x H100 SXM</t>
  </si>
  <si>
    <t>Memory-intensive large-model inference/training</t>
  </si>
  <si>
    <t>8 x H200 SXM</t>
  </si>
  <si>
    <t>Instinct MI300X 192GB</t>
  </si>
  <si>
    <t>OAM</t>
  </si>
  <si>
    <t>Fixed 8-accelerator platform</t>
  </si>
  <si>
    <t>AMD Infinity Fabric</t>
  </si>
  <si>
    <t>Large-model AI/HPC</t>
  </si>
  <si>
    <t>8 x MI300X</t>
  </si>
  <si>
    <t>CMP-007</t>
  </si>
  <si>
    <t>Intel</t>
  </si>
  <si>
    <t>Gaudi 3 128GB</t>
  </si>
  <si>
    <t>Embedded RoCE</t>
  </si>
  <si>
    <t>AI training and inference</t>
  </si>
  <si>
    <t>Storage controller constraints apply</t>
  </si>
  <si>
    <t>8 x Gaudi 3</t>
  </si>
  <si>
    <t>RTX PRO 6000 Blackwell Server Edition 96GB</t>
  </si>
  <si>
    <t>Up to 8 double-wide 600W accelerators</t>
  </si>
  <si>
    <t>PCIe Gen5</t>
  </si>
  <si>
    <t>Enterprise inference / fine-tuning</t>
  </si>
  <si>
    <t>Dell specification sheet</t>
  </si>
  <si>
    <t>https://www.delltechnologies.com/assetlink/doc/tr-tr/poweredge-xe7745-spec-sheet-en-dl1lybn-original.pdf</t>
  </si>
  <si>
    <t>2025/2026 Dell spec</t>
  </si>
  <si>
    <t>Exact supported counts/configurator validation required</t>
  </si>
  <si>
    <t>1 x RTX PRO 6000</t>
  </si>
  <si>
    <t>4 x RTX PRO 6000</t>
  </si>
  <si>
    <t>8 x RTX PRO 6000</t>
  </si>
  <si>
    <t>Up to 8 double-wide; exact count validate with Dell</t>
  </si>
  <si>
    <t>141</t>
  </si>
  <si>
    <t>NVLink capable; topology configuration dependent</t>
  </si>
  <si>
    <t>Memory-heavy inference / fine-tuning</t>
  </si>
  <si>
    <t>Dell spec example / matrix confirmation required</t>
  </si>
  <si>
    <t>Dell specification family + GPU matrix</t>
  </si>
  <si>
    <t>https://www.delltechnologies.com/assetlink/doc/en-iq/poweredge-server-gpu-matrix-en-dl1h9a2-original.pdf</t>
  </si>
  <si>
    <t>Current Dell matrix</t>
  </si>
  <si>
    <t>Do not mark procurement-ready until exact configurator pairing checked</t>
  </si>
  <si>
    <t>1 x H200 NVL</t>
  </si>
  <si>
    <t>4 x H200 NVL</t>
  </si>
  <si>
    <t>8 x H200 NVL</t>
  </si>
  <si>
    <t>L4 24GB</t>
  </si>
  <si>
    <t>PCIe SW</t>
  </si>
  <si>
    <t>Up to 16 single-wide 75W accelerators</t>
  </si>
  <si>
    <t>PCIe Gen4/5 host dependent</t>
  </si>
  <si>
    <t>High-density efficient inference</t>
  </si>
  <si>
    <t>Exact supported quantities require configured order validation</t>
  </si>
  <si>
    <t>1 x L4</t>
  </si>
  <si>
    <t>8 x L4</t>
  </si>
  <si>
    <t>16 x L4</t>
  </si>
  <si>
    <t>HGX B200 180GB</t>
  </si>
  <si>
    <t>SXM6</t>
  </si>
  <si>
    <t>Frontier model training/inference</t>
  </si>
  <si>
    <t>8 x B200</t>
  </si>
  <si>
    <t>CMP-012</t>
  </si>
  <si>
    <t>HGX B300 270GB</t>
  </si>
  <si>
    <t>Fixed 8-GPU HGX NVL8 platform</t>
  </si>
  <si>
    <t>8 x B300</t>
  </si>
  <si>
    <t>Instinct MI355X 288GB</t>
  </si>
  <si>
    <t>8 x MI355X</t>
  </si>
  <si>
    <t>CMP-014</t>
  </si>
  <si>
    <t>Inference Benchmark Catalog</t>
  </si>
  <si>
    <t>GPU Qty Tested</t>
  </si>
  <si>
    <t>Input Tokens</t>
  </si>
  <si>
    <t>Concurrency</t>
  </si>
  <si>
    <t>P95 TTFT ms</t>
  </si>
  <si>
    <t>ITL ms</t>
  </si>
  <si>
    <t>Output TPS/System</t>
  </si>
  <si>
    <t>RPS/System</t>
  </si>
  <si>
    <t>RPS/GPU</t>
  </si>
  <si>
    <t>Sequences/GPU</t>
  </si>
  <si>
    <t>Input TPS/GPU</t>
  </si>
  <si>
    <t>Benchmark Type</t>
  </si>
  <si>
    <t>Confidence</t>
  </si>
  <si>
    <t>Use Rule</t>
  </si>
  <si>
    <t>Date</t>
  </si>
  <si>
    <t>https://docs.nvidia.com/nim/benchmarking/llm/1.0.0/performance.html</t>
  </si>
  <si>
    <t>Use when model/precision and token shape align</t>
  </si>
  <si>
    <t>2026-04-01</t>
  </si>
  <si>
    <t>NVIDIA NIM Llama 3.3 70B</t>
  </si>
  <si>
    <t>BM-H100-1K1K-C100</t>
  </si>
  <si>
    <t>Shorter prompt/longer output profile</t>
  </si>
  <si>
    <t>PROXY</t>
  </si>
  <si>
    <t>https://infohub.delltechnologies.com/en-us/l/design-guide-generative-ai-in-the-enterprise-inferencing/sizing-guidelines-81/</t>
  </si>
  <si>
    <t>Replace before procurement</t>
  </si>
  <si>
    <t>2026-09-08</t>
  </si>
  <si>
    <t>Planning proxy</t>
  </si>
  <si>
    <t>FP16</t>
  </si>
  <si>
    <t>https://docs.nvidia.com/nim/large-language-models/1.4.0/support-matrix.html</t>
  </si>
  <si>
    <t>https://www.nvidia.com/en-us/data-center/h200/</t>
  </si>
  <si>
    <t>https://www.nvidia.com/en-us/data-center/rtx-pro-6000-blackwell-server-edition/</t>
  </si>
  <si>
    <t>Training completion benchmark required</t>
  </si>
  <si>
    <t>Selected Model to GPU and Dell Server Recommendation</t>
  </si>
  <si>
    <t>Selection Output</t>
  </si>
  <si>
    <t>Minimum Memory-Fit Option</t>
  </si>
  <si>
    <t>Moderate Supported Option</t>
  </si>
  <si>
    <t>Heavy Supported Option</t>
  </si>
  <si>
    <t>Unit / Type</t>
  </si>
  <si>
    <t>Selection Logic</t>
  </si>
  <si>
    <t>Source Key</t>
  </si>
  <si>
    <t>SEL-001</t>
  </si>
  <si>
    <t>Selected Workload Rule</t>
  </si>
  <si>
    <t>Input-to-workload logic</t>
  </si>
  <si>
    <t>SEL-002</t>
  </si>
  <si>
    <t>Candidate or override</t>
  </si>
  <si>
    <t>Evaluation evidence required</t>
  </si>
  <si>
    <t>SEL-003</t>
  </si>
  <si>
    <t>Selected Model</t>
  </si>
  <si>
    <t>model</t>
  </si>
  <si>
    <t>Not final approved</t>
  </si>
  <si>
    <t>SEL-004</t>
  </si>
  <si>
    <t>Selected Mapping ID</t>
  </si>
  <si>
    <t>Model ID + Workload Rule ID</t>
  </si>
  <si>
    <t>SEL-005</t>
  </si>
  <si>
    <t>Mapping lookup</t>
  </si>
  <si>
    <t>SEL-006</t>
  </si>
  <si>
    <t>GPU</t>
  </si>
  <si>
    <t>SEL-007</t>
  </si>
  <si>
    <t>GPU VRAM / GPU</t>
  </si>
  <si>
    <t>GB</t>
  </si>
  <si>
    <t>SEL-008</t>
  </si>
  <si>
    <t>MEM-001</t>
  </si>
  <si>
    <t>Model Weight Memory</t>
  </si>
  <si>
    <t>Parameters x bytes/parameter</t>
  </si>
  <si>
    <t>MEM-002</t>
  </si>
  <si>
    <t>Runtime Workspace</t>
  </si>
  <si>
    <t>Planning: max(8 GB, 10% weights)</t>
  </si>
  <si>
    <t>Runtime measurement</t>
  </si>
  <si>
    <t>Replace with measured runtime</t>
  </si>
  <si>
    <t>MEM-003</t>
  </si>
  <si>
    <t>KV Cache Memory</t>
  </si>
  <si>
    <t>Context x active sequences planning proxy</t>
  </si>
  <si>
    <t>KV measurement</t>
  </si>
  <si>
    <t>Architecture-specific replacement required</t>
  </si>
  <si>
    <t>MEM-004</t>
  </si>
  <si>
    <t>Total Required VRAM</t>
  </si>
  <si>
    <t>Weights + runtime + KV cache</t>
  </si>
  <si>
    <t>Memory</t>
  </si>
  <si>
    <t>CAP-001</t>
  </si>
  <si>
    <t>Memory GPU Minimum</t>
  </si>
  <si>
    <t>GPUs</t>
  </si>
  <si>
    <t>Required VRAM / 90% usable VRAM</t>
  </si>
  <si>
    <t>BM-001</t>
  </si>
  <si>
    <t>Mapping benchmark link</t>
  </si>
  <si>
    <t>BM-002</t>
  </si>
  <si>
    <t>type</t>
  </si>
  <si>
    <t>Benchmark lookup</t>
  </si>
  <si>
    <t>BM-003</t>
  </si>
  <si>
    <t>confidence</t>
  </si>
  <si>
    <t>BM-004</t>
  </si>
  <si>
    <t>Benchmark P95 TTFT</t>
  </si>
  <si>
    <t>BM-005</t>
  </si>
  <si>
    <t>Benchmark ITL</t>
  </si>
  <si>
    <t>ms/token</t>
  </si>
  <si>
    <t>BM-006</t>
  </si>
  <si>
    <t>Benchmark RPS / GPU</t>
  </si>
  <si>
    <t>requests/sec/GPU</t>
  </si>
  <si>
    <t>BM-007</t>
  </si>
  <si>
    <t>Benchmark Sequences / GPU</t>
  </si>
  <si>
    <t>sequences/GPU</t>
  </si>
  <si>
    <t>BM-008</t>
  </si>
  <si>
    <t>Benchmark Input TPS / GPU</t>
  </si>
  <si>
    <t>tokens/sec/GPU</t>
  </si>
  <si>
    <t>BM-009</t>
  </si>
  <si>
    <t>Benchmark Output TPS / GPU</t>
  </si>
  <si>
    <t>System output TPS / GPUs tested</t>
  </si>
  <si>
    <t>VAL-001</t>
  </si>
  <si>
    <t>TTFT Match</t>
  </si>
  <si>
    <t>Benchmark TTFT &lt;= SLA</t>
  </si>
  <si>
    <t>TTFT</t>
  </si>
  <si>
    <t>VAL-002</t>
  </si>
  <si>
    <t>Generation Speed Match</t>
  </si>
  <si>
    <t>1,000 / ITL &gt;= required tokens/sec</t>
  </si>
  <si>
    <t>ITL</t>
  </si>
  <si>
    <t>CAP-002</t>
  </si>
  <si>
    <t>Throughput GPU Minimum</t>
  </si>
  <si>
    <t>Model calls/sec / benchmark RPS/GPU</t>
  </si>
  <si>
    <t>CAP-003</t>
  </si>
  <si>
    <t>Prefill GPU Minimum</t>
  </si>
  <si>
    <t>Required input TPS / benchmark input TPS/GPU</t>
  </si>
  <si>
    <t>Prefill</t>
  </si>
  <si>
    <t>CAP-004</t>
  </si>
  <si>
    <t>Decode GPU Minimum</t>
  </si>
  <si>
    <t>Required output TPS / benchmark output TPS/GPU</t>
  </si>
  <si>
    <t>Decode</t>
  </si>
  <si>
    <t>CAP-005</t>
  </si>
  <si>
    <t>Concurrency GPU Minimum</t>
  </si>
  <si>
    <t>Peak sequences / benchmark sequences/GPU</t>
  </si>
  <si>
    <t>CAP-006</t>
  </si>
  <si>
    <t>Tensor Parallelism Minimum</t>
  </si>
  <si>
    <t>Model/GPU profile topology</t>
  </si>
  <si>
    <t>Parallelism</t>
  </si>
  <si>
    <t>CAP-007</t>
  </si>
  <si>
    <t>Industry Base GPU Count</t>
  </si>
  <si>
    <t>MAX(memory, throughput, prefill, decode, concurrency, TP)</t>
  </si>
  <si>
    <t>Maximum driver</t>
  </si>
  <si>
    <t>SEL-009</t>
  </si>
  <si>
    <t>SEL-010</t>
  </si>
  <si>
    <t>server</t>
  </si>
  <si>
    <t>Compatibility lookup</t>
  </si>
  <si>
    <t>SEL-011</t>
  </si>
  <si>
    <t>GPUs Supported / Server</t>
  </si>
  <si>
    <t>GPUs/server</t>
  </si>
  <si>
    <t>Dell compatibility matrix</t>
  </si>
  <si>
    <t>CAP-008</t>
  </si>
  <si>
    <t>Installed GPU Quantity</t>
  </si>
  <si>
    <t>Minimum capacity; 25% and 50% planning scenarios</t>
  </si>
  <si>
    <t>Capacity options</t>
  </si>
  <si>
    <t>All options benchmark-driven</t>
  </si>
  <si>
    <t>CAP-009</t>
  </si>
  <si>
    <t>Base Server Quantity</t>
  </si>
  <si>
    <t>Installed GPUs / GPUs per server</t>
  </si>
  <si>
    <t>CAP-010</t>
  </si>
  <si>
    <t>Growth-Adjusted Servers</t>
  </si>
  <si>
    <t>Base x (1+growth)^years</t>
  </si>
  <si>
    <t>Growth inputs</t>
  </si>
  <si>
    <t>CAP-011</t>
  </si>
  <si>
    <t>Production + HA Servers</t>
  </si>
  <si>
    <t>Growth-adjusted + explicit HA servers</t>
  </si>
  <si>
    <t>HA input</t>
  </si>
  <si>
    <t>CAP-012</t>
  </si>
  <si>
    <t>DR Servers</t>
  </si>
  <si>
    <t>Production x explicit DR capacity</t>
  </si>
  <si>
    <t>DR input</t>
  </si>
  <si>
    <t>CAP-013</t>
  </si>
  <si>
    <t>Total Server Quantity</t>
  </si>
  <si>
    <t>Production + HA + DR</t>
  </si>
  <si>
    <t>BOM</t>
  </si>
  <si>
    <t>CAP-014</t>
  </si>
  <si>
    <t>Total Installed GPU VRAM</t>
  </si>
  <si>
    <t>Installed GPUs x VRAM/GPU</t>
  </si>
  <si>
    <t>FIN-001</t>
  </si>
  <si>
    <t>USD/server</t>
  </si>
  <si>
    <t>Base chassis + supported GPU configuration</t>
  </si>
  <si>
    <t>Approximate</t>
  </si>
  <si>
    <t>Replace with exact quote</t>
  </si>
  <si>
    <t>FIN-002</t>
  </si>
  <si>
    <t>Budgetary Hardware Total</t>
  </si>
  <si>
    <t>Total servers x budgetary unit price</t>
  </si>
  <si>
    <t>Financials</t>
  </si>
  <si>
    <t>RDY-001</t>
  </si>
  <si>
    <t>Benchmark Readiness</t>
  </si>
  <si>
    <t>Benchmark type</t>
  </si>
  <si>
    <t>RDY-002</t>
  </si>
  <si>
    <t>Selection Readiness</t>
  </si>
  <si>
    <t>Model + benchmark + compatibility</t>
  </si>
  <si>
    <t>All keys</t>
  </si>
  <si>
    <t>Exact quote and evaluation may remain</t>
  </si>
  <si>
    <t>Bill of Materials - Minimum Memory-Fit, Moderate Supported and Heavy Supported Options</t>
  </si>
  <si>
    <t>BOM Line</t>
  </si>
  <si>
    <t>Component</t>
  </si>
  <si>
    <t>Source / Formula</t>
  </si>
  <si>
    <t>Readiness</t>
  </si>
  <si>
    <t>Pricing Key</t>
  </si>
  <si>
    <t>BOM-001</t>
  </si>
  <si>
    <t>Selection engine</t>
  </si>
  <si>
    <t>BOM-002</t>
  </si>
  <si>
    <t>Model catalog</t>
  </si>
  <si>
    <t>Evaluation Required</t>
  </si>
  <si>
    <t>Domain/language/groundedness/tool/JSON approval required</t>
  </si>
  <si>
    <t>BOM-003</t>
  </si>
  <si>
    <t>benchmark</t>
  </si>
  <si>
    <t>Benchmark catalog</t>
  </si>
  <si>
    <t>Proxy must be replaced before procurement</t>
  </si>
  <si>
    <t>BOM-004</t>
  </si>
  <si>
    <t>Budgetary</t>
  </si>
  <si>
    <t>BOM-005</t>
  </si>
  <si>
    <t>MAX of six independent capacity drivers</t>
  </si>
  <si>
    <t>BOM-006</t>
  </si>
  <si>
    <t>Rounded to complete Dell server topology</t>
  </si>
  <si>
    <t>BOM-007</t>
  </si>
  <si>
    <t>Installed GPU qty x VRAM/GPU</t>
  </si>
  <si>
    <t>BOM-008</t>
  </si>
  <si>
    <t>server model</t>
  </si>
  <si>
    <t>Compatibility ID lookup</t>
  </si>
  <si>
    <t>BOM-009</t>
  </si>
  <si>
    <t>BOM-010</t>
  </si>
  <si>
    <t>BOM-011</t>
  </si>
  <si>
    <t>Growth plus explicit HA</t>
  </si>
  <si>
    <t>BOM-012</t>
  </si>
  <si>
    <t>BOM-013</t>
  </si>
  <si>
    <t>BOM-014</t>
  </si>
  <si>
    <t>CPU platform</t>
  </si>
  <si>
    <t>Server master lookup</t>
  </si>
  <si>
    <t>Included in server price</t>
  </si>
  <si>
    <t>Exact CPU SKU requires quote</t>
  </si>
  <si>
    <t>BOM-015</t>
  </si>
  <si>
    <t>CPU Sockets / Server</t>
  </si>
  <si>
    <t>sockets/server</t>
  </si>
  <si>
    <t>BOM-016</t>
  </si>
  <si>
    <t>Max Cores / Socket</t>
  </si>
  <si>
    <t>cores/socket</t>
  </si>
  <si>
    <t>Reference</t>
  </si>
  <si>
    <t>Configured CPU SKU required</t>
  </si>
  <si>
    <t>BOM-017</t>
  </si>
  <si>
    <t>Max System RAM / Server</t>
  </si>
  <si>
    <t>TB/server</t>
  </si>
  <si>
    <t>Configured RAM differs from maximum</t>
  </si>
  <si>
    <t>BOM-018</t>
  </si>
  <si>
    <t>Max Local Storage / Server</t>
  </si>
  <si>
    <t>Exact usable NVMe requires drive/RAID quote</t>
  </si>
  <si>
    <t>BOM-019</t>
  </si>
  <si>
    <t>Network / Expansion</t>
  </si>
  <si>
    <t>configuration</t>
  </si>
  <si>
    <t>Included/additional</t>
  </si>
  <si>
    <t>Exact NIC/switch design required</t>
  </si>
  <si>
    <t>BOM-020</t>
  </si>
  <si>
    <t>Facility cost</t>
  </si>
  <si>
    <t>BOM-021</t>
  </si>
  <si>
    <t>Rack Units / Server</t>
  </si>
  <si>
    <t>U/server</t>
  </si>
  <si>
    <t>BOM-022</t>
  </si>
  <si>
    <t>Budgetary chassis + supported GPU configuration</t>
  </si>
  <si>
    <t>Replace with exact Dell quote</t>
  </si>
  <si>
    <t>BOM-023</t>
  </si>
  <si>
    <t>BOM-024</t>
  </si>
  <si>
    <t>Overall Readiness</t>
  </si>
  <si>
    <t>Model + benchmark + Dell compatibility</t>
  </si>
  <si>
    <t>Budgetary Financial Summary - Replace With Exact Quotes When Available</t>
  </si>
  <si>
    <t>Financial Line</t>
  </si>
  <si>
    <t>Formula / Source</t>
  </si>
  <si>
    <t>Exact Quote Replacement</t>
  </si>
  <si>
    <t>Dell GPU Server Hardware</t>
  </si>
  <si>
    <t>BOM budgetary hardware total</t>
  </si>
  <si>
    <t>Exact Dell configured-server quote</t>
  </si>
  <si>
    <t>Future Capacity Storage</t>
  </si>
  <si>
    <t>KB size x (1+data growth)^years</t>
  </si>
  <si>
    <t>Storage sizing/quote</t>
  </si>
  <si>
    <t>FIN-003</t>
  </si>
  <si>
    <t>Capacity Storage Cost</t>
  </si>
  <si>
    <t>$1,500/TB planning value</t>
  </si>
  <si>
    <t>Storage vendor quote</t>
  </si>
  <si>
    <t>FIN-004</t>
  </si>
  <si>
    <t>High-Speed RAG NVMe</t>
  </si>
  <si>
    <t>25% hot-tier planning proxy</t>
  </si>
  <si>
    <t>Ingestion/vector DB pilot</t>
  </si>
  <si>
    <t>Non-RAG minimum returns zero</t>
  </si>
  <si>
    <t>FIN-005</t>
  </si>
  <si>
    <t>High-Speed NVMe Cost</t>
  </si>
  <si>
    <t>$5,000/TB planning value</t>
  </si>
  <si>
    <t>NVMe vendor quote</t>
  </si>
  <si>
    <t>FIN-006</t>
  </si>
  <si>
    <t>Network Switches</t>
  </si>
  <si>
    <t>switches</t>
  </si>
  <si>
    <t>Dual-port, 32-port planning topology</t>
  </si>
  <si>
    <t>Final network topology</t>
  </si>
  <si>
    <t>FIN-007</t>
  </si>
  <si>
    <t>Network Cost</t>
  </si>
  <si>
    <t>$50,000/switch planning value</t>
  </si>
  <si>
    <t>Network quote</t>
  </si>
  <si>
    <t>FIN-008</t>
  </si>
  <si>
    <t>Software and Support</t>
  </si>
  <si>
    <t>15% planning allowance</t>
  </si>
  <si>
    <t>Software/support quote</t>
  </si>
  <si>
    <t>FIN-009</t>
  </si>
  <si>
    <t>Budgetary CAPEX</t>
  </si>
  <si>
    <t>Sum of budgetary lines</t>
  </si>
  <si>
    <t>Exact quotes</t>
  </si>
  <si>
    <t>FIN-010</t>
  </si>
  <si>
    <t>Contingency</t>
  </si>
  <si>
    <t>10% planning contingency</t>
  </si>
  <si>
    <t>Approved contingency policy</t>
  </si>
  <si>
    <t>FIN-011</t>
  </si>
  <si>
    <t>Total Planning Budget</t>
  </si>
  <si>
    <t>CAPEX + contingency</t>
  </si>
  <si>
    <t>Approved financial model</t>
  </si>
  <si>
    <t>Server Height in U's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</si>
</sst>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;[Red]&quot;($&quot;#,##0\);\-"/>
  </numFmts>
  <fonts count="11" x14ac:knownFonts="1">
    <font>
      <sz val="10"/>
      <name val="Arial"/>
      <family val="2"/>
    </font>
    <font>
      <sz val="11"/>
      <color theme="1"/>
      <name val="Calibri"/>
      <family val="2"/>
      <charset val="1"/>
    </font>
    <font>
      <b/>
      <sz val="14"/>
      <color rgb="FFFFFFFF"/>
      <name val="Cambria"/>
      <charset val="1"/>
    </font>
    <font>
      <b/>
      <sz val="14"/>
      <color rgb="FFFFFFFF"/>
      <name val="Calibri"/>
      <charset val="1"/>
    </font>
    <font>
      <b/>
      <sz val="11"/>
      <color rgb="FFFFFFFF"/>
      <name val="Cambria"/>
      <charset val="1"/>
    </font>
    <font>
      <sz val="11"/>
      <color rgb="FF0000FF"/>
      <name val="Calibri"/>
      <charset val="1"/>
    </font>
    <font>
      <sz val="11"/>
      <color rgb="FF0000FF"/>
      <name val="Cambria"/>
      <charset val="1"/>
    </font>
    <font>
      <b/>
      <sz val="11"/>
      <name val="Calibri"/>
      <charset val="1"/>
    </font>
    <font>
      <b/>
      <sz val="11"/>
      <color rgb="FFFFFFFF"/>
      <name val="Calibri"/>
      <charset val="1"/>
    </font>
    <font>
      <sz val="11"/>
      <color rgb="FF000000"/>
      <name val="Cambria"/>
      <charset val="1"/>
    </font>
    <font>
      <b/>
      <sz val="11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AF7"/>
        <bgColor rgb="FFE4DFEC"/>
      </patternFill>
    </fill>
    <fill>
      <patternFill patternType="solid">
        <fgColor rgb="FFE4DFEC"/>
        <b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1" fillId="0" borderId="0" xfId="1"/>
    <xf numFmtId="0" fontId="1" fillId="0" borderId="0" xfId="1" applyAlignment="1">
      <alignment vertical="top" wrapText="1"/>
    </xf>
    <xf numFmtId="0" fontId="1" fillId="0" borderId="0" xfId="1" applyAlignment="1">
      <alignment horizontal="left"/>
    </xf>
    <xf numFmtId="0" fontId="4" fillId="2" borderId="0" xfId="1" applyFont="1" applyFill="1" applyAlignment="1">
      <alignment vertical="top" wrapText="1"/>
    </xf>
    <xf numFmtId="0" fontId="8" fillId="2" borderId="0" xfId="1" applyFont="1" applyFill="1" applyAlignment="1">
      <alignment vertical="top" wrapText="1"/>
    </xf>
    <xf numFmtId="0" fontId="9" fillId="0" borderId="0" xfId="1" applyFont="1" applyAlignment="1">
      <alignment vertical="top" wrapText="1"/>
    </xf>
    <xf numFmtId="165" fontId="9" fillId="0" borderId="0" xfId="1" applyNumberFormat="1" applyFont="1" applyAlignment="1">
      <alignment vertical="top" wrapText="1"/>
    </xf>
    <xf numFmtId="0" fontId="1" fillId="0" borderId="0" xfId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0" fontId="5" fillId="3" borderId="0" xfId="1" applyFont="1" applyFill="1" applyAlignment="1">
      <alignment horizontal="left" vertical="top"/>
    </xf>
    <xf numFmtId="164" fontId="5" fillId="3" borderId="0" xfId="1" applyNumberFormat="1" applyFont="1" applyFill="1" applyAlignment="1">
      <alignment horizontal="left" vertical="top"/>
    </xf>
    <xf numFmtId="0" fontId="6" fillId="3" borderId="0" xfId="1" applyFont="1" applyFill="1" applyAlignment="1">
      <alignment horizontal="left" vertical="top"/>
    </xf>
    <xf numFmtId="0" fontId="9" fillId="0" borderId="0" xfId="1" applyFont="1" applyAlignment="1">
      <alignment horizontal="left" vertical="top"/>
    </xf>
    <xf numFmtId="165" fontId="9" fillId="0" borderId="0" xfId="1" applyNumberFormat="1" applyFont="1" applyAlignment="1">
      <alignment horizontal="left" vertical="top"/>
    </xf>
    <xf numFmtId="0" fontId="3" fillId="2" borderId="0" xfId="1" applyFont="1" applyFill="1" applyAlignment="1">
      <alignment horizontal="left" vertical="top"/>
    </xf>
    <xf numFmtId="0" fontId="2" fillId="2" borderId="0" xfId="1" applyFont="1" applyFill="1" applyAlignment="1">
      <alignment vertical="top" wrapText="1"/>
    </xf>
    <xf numFmtId="0" fontId="3" fillId="2" borderId="0" xfId="1" applyFont="1" applyFill="1" applyAlignment="1">
      <alignment vertical="top" wrapText="1"/>
    </xf>
    <xf numFmtId="0" fontId="7" fillId="4" borderId="0" xfId="1" applyFont="1" applyFill="1" applyAlignment="1">
      <alignment vertical="top" wrapText="1"/>
    </xf>
    <xf numFmtId="0" fontId="7" fillId="4" borderId="0" xfId="1" applyFont="1" applyFill="1" applyAlignment="1">
      <alignment horizontal="left" vertical="top"/>
    </xf>
    <xf numFmtId="0" fontId="8" fillId="2" borderId="0" xfId="1" applyFont="1" applyFill="1" applyAlignment="1">
      <alignment horizontal="left" vertical="top"/>
    </xf>
    <xf numFmtId="0" fontId="6" fillId="0" borderId="0" xfId="1" applyFont="1" applyAlignment="1">
      <alignment horizontal="left" vertical="top"/>
    </xf>
    <xf numFmtId="0" fontId="10" fillId="4" borderId="0" xfId="1" applyFont="1" applyFill="1" applyAlignment="1">
      <alignment horizontal="left" vertical="top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showGridLines="0" zoomScaleNormal="100" workbookViewId="0">
      <selection activeCell="A3" sqref="A3"/>
    </sheetView>
  </sheetViews>
  <sheetFormatPr defaultColWidth="8.7265625" defaultRowHeight="14.5" x14ac:dyDescent="0.35"/>
  <cols>
    <col min="1" max="1" width="120" style="1" customWidth="1"/>
  </cols>
  <sheetData>
    <row r="1" spans="1:8" ht="17.899999999999999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showGridLines="0" topLeftCell="A3" zoomScaleNormal="100" workbookViewId="0">
      <selection activeCell="C14" sqref="C14"/>
    </sheetView>
  </sheetViews>
  <sheetFormatPr defaultColWidth="18" defaultRowHeight="14.5" x14ac:dyDescent="0.35"/>
  <cols>
    <col min="1" max="1" width="8.6328125" style="3" bestFit="1" customWidth="1"/>
    <col min="2" max="2" width="32" style="3" bestFit="1" customWidth="1"/>
    <col min="3" max="3" width="14.08984375" style="3" bestFit="1" customWidth="1"/>
    <col min="4" max="4" width="16.81640625" style="3" bestFit="1" customWidth="1"/>
    <col min="5" max="5" width="21.7265625" style="3" bestFit="1" customWidth="1"/>
    <col min="6" max="6" width="53.1796875" style="3" bestFit="1" customWidth="1"/>
    <col min="7" max="7" width="40.54296875" style="3" bestFit="1" customWidth="1"/>
    <col min="8" max="8" width="27.26953125" style="3" bestFit="1" customWidth="1"/>
    <col min="9" max="9" width="12.453125" style="3" bestFit="1" customWidth="1"/>
    <col min="10" max="10" width="27.54296875" style="3" bestFit="1" customWidth="1"/>
    <col min="11" max="16384" width="18" style="3"/>
  </cols>
  <sheetData>
    <row r="1" spans="1:10" ht="18" customHeight="1" x14ac:dyDescent="0.35">
      <c r="A1" s="15" t="s">
        <v>2</v>
      </c>
      <c r="B1" s="15"/>
      <c r="C1" s="15"/>
      <c r="D1" s="15"/>
      <c r="E1" s="15"/>
      <c r="F1" s="15"/>
      <c r="G1" s="15"/>
      <c r="H1" s="15"/>
      <c r="I1" s="8"/>
      <c r="J1" s="8"/>
    </row>
    <row r="2" spans="1:10" x14ac:dyDescent="0.35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 x14ac:dyDescent="0.35">
      <c r="A3" s="9" t="s">
        <v>3</v>
      </c>
      <c r="B3" s="9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0" x14ac:dyDescent="0.35">
      <c r="A4" s="8" t="s">
        <v>13</v>
      </c>
      <c r="B4" s="8" t="s">
        <v>14</v>
      </c>
      <c r="C4" s="10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20</v>
      </c>
      <c r="I4" s="8" t="s">
        <v>21</v>
      </c>
      <c r="J4" s="8" t="s">
        <v>22</v>
      </c>
    </row>
    <row r="5" spans="1:10" x14ac:dyDescent="0.35">
      <c r="A5" s="8" t="s">
        <v>23</v>
      </c>
      <c r="B5" s="8" t="s">
        <v>24</v>
      </c>
      <c r="C5" s="10" t="s">
        <v>25</v>
      </c>
      <c r="D5" s="8" t="s">
        <v>26</v>
      </c>
      <c r="E5" s="8" t="s">
        <v>17</v>
      </c>
      <c r="F5" s="8" t="s">
        <v>27</v>
      </c>
      <c r="G5" s="8" t="s">
        <v>19</v>
      </c>
      <c r="H5" s="8" t="s">
        <v>28</v>
      </c>
      <c r="I5" s="8" t="s">
        <v>21</v>
      </c>
      <c r="J5" s="8" t="s">
        <v>22</v>
      </c>
    </row>
    <row r="6" spans="1:10" x14ac:dyDescent="0.35">
      <c r="A6" s="8" t="s">
        <v>29</v>
      </c>
      <c r="B6" s="8" t="s">
        <v>30</v>
      </c>
      <c r="C6" s="10" t="s">
        <v>31</v>
      </c>
      <c r="D6" s="8" t="s">
        <v>26</v>
      </c>
      <c r="E6" s="8" t="s">
        <v>17</v>
      </c>
      <c r="F6" s="8" t="s">
        <v>32</v>
      </c>
      <c r="G6" s="8" t="s">
        <v>19</v>
      </c>
      <c r="H6" s="8" t="s">
        <v>33</v>
      </c>
      <c r="I6" s="8" t="s">
        <v>21</v>
      </c>
      <c r="J6" s="8" t="s">
        <v>22</v>
      </c>
    </row>
    <row r="7" spans="1:10" x14ac:dyDescent="0.35">
      <c r="A7" s="8" t="s">
        <v>34</v>
      </c>
      <c r="B7" s="8" t="s">
        <v>35</v>
      </c>
      <c r="C7" s="10" t="s">
        <v>36</v>
      </c>
      <c r="D7" s="8" t="s">
        <v>26</v>
      </c>
      <c r="E7" s="8" t="s">
        <v>17</v>
      </c>
      <c r="F7" s="8" t="s">
        <v>37</v>
      </c>
      <c r="G7" s="8" t="s">
        <v>19</v>
      </c>
      <c r="H7" s="8" t="s">
        <v>38</v>
      </c>
      <c r="I7" s="8" t="s">
        <v>21</v>
      </c>
      <c r="J7" s="8" t="s">
        <v>22</v>
      </c>
    </row>
    <row r="8" spans="1:10" x14ac:dyDescent="0.35">
      <c r="A8" s="8" t="s">
        <v>39</v>
      </c>
      <c r="B8" s="8" t="s">
        <v>40</v>
      </c>
      <c r="C8" s="10" t="s">
        <v>41</v>
      </c>
      <c r="D8" s="8" t="s">
        <v>26</v>
      </c>
      <c r="E8" s="8" t="s">
        <v>17</v>
      </c>
      <c r="F8" s="8" t="s">
        <v>42</v>
      </c>
      <c r="G8" s="8" t="s">
        <v>43</v>
      </c>
      <c r="H8" s="8" t="s">
        <v>44</v>
      </c>
      <c r="I8" s="8" t="s">
        <v>21</v>
      </c>
      <c r="J8" s="8" t="s">
        <v>22</v>
      </c>
    </row>
    <row r="9" spans="1:10" x14ac:dyDescent="0.35">
      <c r="A9" s="8" t="s">
        <v>45</v>
      </c>
      <c r="B9" s="8" t="s">
        <v>46</v>
      </c>
      <c r="C9" s="10" t="s">
        <v>47</v>
      </c>
      <c r="D9" s="8" t="s">
        <v>26</v>
      </c>
      <c r="E9" s="8" t="s">
        <v>17</v>
      </c>
      <c r="F9" s="8" t="s">
        <v>48</v>
      </c>
      <c r="G9" s="8" t="s">
        <v>19</v>
      </c>
      <c r="H9" s="8" t="s">
        <v>49</v>
      </c>
      <c r="I9" s="8" t="s">
        <v>21</v>
      </c>
      <c r="J9" s="8" t="s">
        <v>22</v>
      </c>
    </row>
    <row r="10" spans="1:10" x14ac:dyDescent="0.35">
      <c r="A10" s="8" t="s">
        <v>50</v>
      </c>
      <c r="B10" s="8" t="s">
        <v>51</v>
      </c>
      <c r="C10" s="10">
        <v>5</v>
      </c>
      <c r="D10" s="8" t="s">
        <v>52</v>
      </c>
      <c r="E10" s="8" t="s">
        <v>53</v>
      </c>
      <c r="F10" s="8" t="s">
        <v>54</v>
      </c>
      <c r="G10" s="8" t="s">
        <v>55</v>
      </c>
      <c r="H10" s="8" t="s">
        <v>56</v>
      </c>
      <c r="I10" s="8" t="s">
        <v>21</v>
      </c>
      <c r="J10" s="8" t="s">
        <v>22</v>
      </c>
    </row>
    <row r="11" spans="1:10" x14ac:dyDescent="0.35">
      <c r="A11" s="8" t="s">
        <v>57</v>
      </c>
      <c r="B11" s="8" t="s">
        <v>58</v>
      </c>
      <c r="C11" s="10" t="s">
        <v>59</v>
      </c>
      <c r="D11" s="8" t="s">
        <v>26</v>
      </c>
      <c r="E11" s="8" t="s">
        <v>17</v>
      </c>
      <c r="F11" s="8" t="s">
        <v>60</v>
      </c>
      <c r="G11" s="8" t="s">
        <v>19</v>
      </c>
      <c r="H11" s="8" t="s">
        <v>61</v>
      </c>
      <c r="I11" s="8" t="s">
        <v>21</v>
      </c>
      <c r="J11" s="8" t="s">
        <v>22</v>
      </c>
    </row>
    <row r="12" spans="1:10" x14ac:dyDescent="0.35">
      <c r="A12" s="8" t="s">
        <v>62</v>
      </c>
      <c r="B12" s="8" t="s">
        <v>63</v>
      </c>
      <c r="C12" s="10">
        <v>10</v>
      </c>
      <c r="D12" s="8" t="s">
        <v>64</v>
      </c>
      <c r="E12" s="8" t="s">
        <v>65</v>
      </c>
      <c r="F12" s="8" t="s">
        <v>66</v>
      </c>
      <c r="G12" s="8" t="s">
        <v>55</v>
      </c>
      <c r="H12" s="8" t="s">
        <v>67</v>
      </c>
      <c r="I12" s="8" t="s">
        <v>21</v>
      </c>
      <c r="J12" s="8" t="s">
        <v>22</v>
      </c>
    </row>
    <row r="13" spans="1:10" x14ac:dyDescent="0.35">
      <c r="A13" s="8" t="s">
        <v>68</v>
      </c>
      <c r="B13" s="8" t="s">
        <v>69</v>
      </c>
      <c r="C13" s="10">
        <v>1000</v>
      </c>
      <c r="D13" s="8" t="s">
        <v>70</v>
      </c>
      <c r="E13" s="8" t="s">
        <v>53</v>
      </c>
      <c r="F13" s="8" t="s">
        <v>71</v>
      </c>
      <c r="G13" s="8" t="s">
        <v>72</v>
      </c>
      <c r="H13" s="8" t="s">
        <v>73</v>
      </c>
      <c r="I13" s="8" t="s">
        <v>21</v>
      </c>
      <c r="J13" s="8" t="s">
        <v>22</v>
      </c>
    </row>
    <row r="14" spans="1:10" x14ac:dyDescent="0.35">
      <c r="A14" s="8" t="s">
        <v>74</v>
      </c>
      <c r="B14" s="8" t="s">
        <v>75</v>
      </c>
      <c r="C14" s="10">
        <v>5</v>
      </c>
      <c r="D14" s="8" t="s">
        <v>76</v>
      </c>
      <c r="E14" s="8" t="s">
        <v>65</v>
      </c>
      <c r="F14" s="8" t="s">
        <v>77</v>
      </c>
      <c r="G14" s="8" t="s">
        <v>72</v>
      </c>
      <c r="H14" s="8" t="s">
        <v>73</v>
      </c>
      <c r="I14" s="8" t="s">
        <v>21</v>
      </c>
      <c r="J14" s="8" t="s">
        <v>22</v>
      </c>
    </row>
    <row r="15" spans="1:10" x14ac:dyDescent="0.35">
      <c r="A15" s="8" t="s">
        <v>78</v>
      </c>
      <c r="B15" s="8" t="s">
        <v>79</v>
      </c>
      <c r="C15" s="10">
        <v>1000</v>
      </c>
      <c r="D15" s="8" t="s">
        <v>80</v>
      </c>
      <c r="E15" s="8" t="s">
        <v>65</v>
      </c>
      <c r="F15" s="8" t="s">
        <v>81</v>
      </c>
      <c r="G15" s="8" t="s">
        <v>72</v>
      </c>
      <c r="H15" s="8" t="s">
        <v>82</v>
      </c>
      <c r="I15" s="8" t="s">
        <v>21</v>
      </c>
      <c r="J15" s="8" t="s">
        <v>22</v>
      </c>
    </row>
    <row r="16" spans="1:10" hidden="1" x14ac:dyDescent="0.35">
      <c r="A16" s="8" t="s">
        <v>83</v>
      </c>
      <c r="B16" s="8" t="s">
        <v>84</v>
      </c>
      <c r="C16" s="10">
        <v>20</v>
      </c>
      <c r="D16" s="8" t="s">
        <v>85</v>
      </c>
      <c r="E16" s="8" t="s">
        <v>65</v>
      </c>
      <c r="F16" s="8" t="s">
        <v>86</v>
      </c>
      <c r="G16" s="8" t="s">
        <v>72</v>
      </c>
      <c r="H16" s="8" t="s">
        <v>82</v>
      </c>
      <c r="I16" s="8" t="s">
        <v>21</v>
      </c>
      <c r="J16" s="8" t="s">
        <v>22</v>
      </c>
    </row>
    <row r="17" spans="1:10" x14ac:dyDescent="0.35">
      <c r="A17" s="8" t="s">
        <v>87</v>
      </c>
      <c r="B17" s="8" t="s">
        <v>88</v>
      </c>
      <c r="C17" s="10" t="s">
        <v>89</v>
      </c>
      <c r="D17" s="8" t="s">
        <v>90</v>
      </c>
      <c r="E17" s="8" t="s">
        <v>17</v>
      </c>
      <c r="F17" s="8" t="s">
        <v>91</v>
      </c>
      <c r="G17" s="8" t="s">
        <v>19</v>
      </c>
      <c r="H17" s="8" t="s">
        <v>92</v>
      </c>
      <c r="I17" s="8" t="s">
        <v>21</v>
      </c>
      <c r="J17" s="8" t="s">
        <v>22</v>
      </c>
    </row>
    <row r="18" spans="1:10" x14ac:dyDescent="0.35">
      <c r="A18" s="8" t="s">
        <v>93</v>
      </c>
      <c r="B18" s="8" t="s">
        <v>94</v>
      </c>
      <c r="C18" s="10" t="s">
        <v>95</v>
      </c>
      <c r="D18" s="8" t="s">
        <v>96</v>
      </c>
      <c r="E18" s="8" t="s">
        <v>17</v>
      </c>
      <c r="F18" s="8" t="s">
        <v>97</v>
      </c>
      <c r="G18" s="8" t="s">
        <v>19</v>
      </c>
      <c r="H18" s="8" t="s">
        <v>98</v>
      </c>
      <c r="I18" s="8" t="s">
        <v>21</v>
      </c>
      <c r="J18" s="8" t="s">
        <v>22</v>
      </c>
    </row>
    <row r="19" spans="1:10" x14ac:dyDescent="0.35">
      <c r="A19" s="8" t="s">
        <v>99</v>
      </c>
      <c r="B19" s="8" t="s">
        <v>100</v>
      </c>
      <c r="C19" s="10">
        <v>1</v>
      </c>
      <c r="D19" s="8" t="s">
        <v>101</v>
      </c>
      <c r="E19" s="8" t="s">
        <v>53</v>
      </c>
      <c r="F19" s="8" t="s">
        <v>102</v>
      </c>
      <c r="G19" s="8" t="s">
        <v>55</v>
      </c>
      <c r="H19" s="8" t="s">
        <v>98</v>
      </c>
      <c r="I19" s="8" t="s">
        <v>21</v>
      </c>
      <c r="J19" s="8" t="s">
        <v>22</v>
      </c>
    </row>
    <row r="20" spans="1:10" x14ac:dyDescent="0.35">
      <c r="A20" s="8" t="s">
        <v>103</v>
      </c>
      <c r="B20" s="8" t="s">
        <v>104</v>
      </c>
      <c r="C20" s="10" t="s">
        <v>105</v>
      </c>
      <c r="D20" s="8" t="s">
        <v>96</v>
      </c>
      <c r="E20" s="8" t="s">
        <v>17</v>
      </c>
      <c r="F20" s="8" t="s">
        <v>106</v>
      </c>
      <c r="G20" s="8" t="s">
        <v>19</v>
      </c>
      <c r="H20" s="8" t="s">
        <v>107</v>
      </c>
      <c r="I20" s="8" t="s">
        <v>21</v>
      </c>
      <c r="J20" s="8" t="s">
        <v>22</v>
      </c>
    </row>
    <row r="21" spans="1:10" x14ac:dyDescent="0.35">
      <c r="A21" s="8" t="s">
        <v>108</v>
      </c>
      <c r="B21" s="8" t="s">
        <v>109</v>
      </c>
      <c r="C21" s="11">
        <v>0.5</v>
      </c>
      <c r="D21" s="8" t="s">
        <v>110</v>
      </c>
      <c r="E21" s="8" t="s">
        <v>111</v>
      </c>
      <c r="F21" s="8" t="s">
        <v>112</v>
      </c>
      <c r="G21" s="8" t="s">
        <v>113</v>
      </c>
      <c r="H21" s="8" t="s">
        <v>107</v>
      </c>
      <c r="I21" s="8" t="s">
        <v>21</v>
      </c>
      <c r="J21" s="8" t="s">
        <v>22</v>
      </c>
    </row>
    <row r="22" spans="1:10" x14ac:dyDescent="0.35">
      <c r="A22" s="8" t="s">
        <v>114</v>
      </c>
      <c r="B22" s="8" t="s">
        <v>115</v>
      </c>
      <c r="C22" s="10">
        <v>3</v>
      </c>
      <c r="D22" s="8" t="s">
        <v>116</v>
      </c>
      <c r="E22" s="8" t="s">
        <v>53</v>
      </c>
      <c r="F22" s="8" t="s">
        <v>117</v>
      </c>
      <c r="G22" s="8" t="s">
        <v>118</v>
      </c>
      <c r="H22" s="8" t="s">
        <v>119</v>
      </c>
      <c r="I22" s="8" t="s">
        <v>21</v>
      </c>
      <c r="J22" s="8" t="s">
        <v>22</v>
      </c>
    </row>
    <row r="23" spans="1:10" x14ac:dyDescent="0.35">
      <c r="A23" s="8" t="s">
        <v>120</v>
      </c>
      <c r="B23" s="8" t="s">
        <v>121</v>
      </c>
      <c r="C23" s="11">
        <v>0.2</v>
      </c>
      <c r="D23" s="8" t="s">
        <v>122</v>
      </c>
      <c r="E23" s="8" t="s">
        <v>111</v>
      </c>
      <c r="F23" s="8" t="s">
        <v>123</v>
      </c>
      <c r="G23" s="8" t="s">
        <v>55</v>
      </c>
      <c r="H23" s="8" t="s">
        <v>119</v>
      </c>
      <c r="I23" s="8" t="s">
        <v>21</v>
      </c>
      <c r="J23" s="8" t="s">
        <v>22</v>
      </c>
    </row>
    <row r="24" spans="1:10" x14ac:dyDescent="0.35">
      <c r="A24" s="8" t="s">
        <v>124</v>
      </c>
      <c r="B24" s="8" t="s">
        <v>125</v>
      </c>
      <c r="C24" s="11">
        <v>0.2</v>
      </c>
      <c r="D24" s="8" t="s">
        <v>122</v>
      </c>
      <c r="E24" s="8" t="s">
        <v>111</v>
      </c>
      <c r="F24" s="8" t="s">
        <v>126</v>
      </c>
      <c r="G24" s="8" t="s">
        <v>55</v>
      </c>
      <c r="H24" s="8" t="s">
        <v>127</v>
      </c>
      <c r="I24" s="8" t="s">
        <v>21</v>
      </c>
      <c r="J24" s="8" t="s">
        <v>22</v>
      </c>
    </row>
    <row r="25" spans="1:10" hidden="1" x14ac:dyDescent="0.35">
      <c r="A25" s="8" t="s">
        <v>128</v>
      </c>
      <c r="B25" s="8" t="s">
        <v>129</v>
      </c>
      <c r="C25" s="10">
        <v>600</v>
      </c>
      <c r="D25" s="8" t="s">
        <v>130</v>
      </c>
      <c r="E25" s="8" t="s">
        <v>131</v>
      </c>
      <c r="F25" s="8" t="s">
        <v>132</v>
      </c>
      <c r="G25" s="8" t="s">
        <v>133</v>
      </c>
      <c r="H25" s="8" t="s">
        <v>134</v>
      </c>
      <c r="I25" s="8" t="s">
        <v>135</v>
      </c>
      <c r="J25" s="8" t="s">
        <v>136</v>
      </c>
    </row>
    <row r="26" spans="1:10" hidden="1" x14ac:dyDescent="0.35">
      <c r="A26" s="8" t="s">
        <v>137</v>
      </c>
      <c r="B26" s="8" t="s">
        <v>138</v>
      </c>
      <c r="C26" s="10">
        <v>20</v>
      </c>
      <c r="D26" s="8" t="s">
        <v>139</v>
      </c>
      <c r="E26" s="8" t="s">
        <v>131</v>
      </c>
      <c r="F26" s="8" t="s">
        <v>140</v>
      </c>
      <c r="G26" s="8" t="s">
        <v>133</v>
      </c>
      <c r="H26" s="8" t="s">
        <v>134</v>
      </c>
      <c r="I26" s="8" t="s">
        <v>135</v>
      </c>
      <c r="J26" s="8" t="s">
        <v>141</v>
      </c>
    </row>
    <row r="27" spans="1:10" hidden="1" x14ac:dyDescent="0.35">
      <c r="A27" s="8" t="s">
        <v>142</v>
      </c>
      <c r="B27" s="8" t="s">
        <v>143</v>
      </c>
      <c r="C27" s="10">
        <v>512</v>
      </c>
      <c r="D27" s="8" t="s">
        <v>144</v>
      </c>
      <c r="E27" s="8" t="s">
        <v>131</v>
      </c>
      <c r="F27" s="8" t="s">
        <v>145</v>
      </c>
      <c r="G27" s="8" t="s">
        <v>133</v>
      </c>
      <c r="H27" s="8" t="s">
        <v>134</v>
      </c>
      <c r="I27" s="8" t="s">
        <v>135</v>
      </c>
      <c r="J27" s="8" t="s">
        <v>136</v>
      </c>
    </row>
    <row r="28" spans="1:10" hidden="1" x14ac:dyDescent="0.35">
      <c r="A28" s="8" t="s">
        <v>146</v>
      </c>
      <c r="B28" s="8" t="s">
        <v>147</v>
      </c>
      <c r="C28" s="10">
        <v>150</v>
      </c>
      <c r="D28" s="8" t="s">
        <v>148</v>
      </c>
      <c r="E28" s="8" t="s">
        <v>131</v>
      </c>
      <c r="F28" s="8" t="s">
        <v>149</v>
      </c>
      <c r="G28" s="8" t="s">
        <v>150</v>
      </c>
      <c r="H28" s="8" t="s">
        <v>134</v>
      </c>
      <c r="I28" s="8" t="s">
        <v>135</v>
      </c>
      <c r="J28" s="8" t="s">
        <v>151</v>
      </c>
    </row>
    <row r="29" spans="1:10" hidden="1" x14ac:dyDescent="0.35">
      <c r="A29" s="8" t="s">
        <v>152</v>
      </c>
      <c r="B29" s="8" t="s">
        <v>153</v>
      </c>
      <c r="C29" s="10"/>
      <c r="D29" s="8" t="s">
        <v>154</v>
      </c>
      <c r="E29" s="8" t="s">
        <v>155</v>
      </c>
      <c r="F29" s="8" t="s">
        <v>156</v>
      </c>
      <c r="G29" s="8" t="s">
        <v>157</v>
      </c>
      <c r="H29" s="8" t="s">
        <v>61</v>
      </c>
      <c r="I29" s="8" t="s">
        <v>21</v>
      </c>
      <c r="J29" s="8" t="s">
        <v>22</v>
      </c>
    </row>
    <row r="30" spans="1:10" hidden="1" x14ac:dyDescent="0.35">
      <c r="A30" s="8" t="s">
        <v>158</v>
      </c>
      <c r="B30" s="8" t="s">
        <v>159</v>
      </c>
      <c r="C30" s="10"/>
      <c r="D30" s="8" t="s">
        <v>160</v>
      </c>
      <c r="E30" s="8" t="s">
        <v>161</v>
      </c>
      <c r="F30" s="8" t="s">
        <v>162</v>
      </c>
      <c r="G30" s="8" t="s">
        <v>43</v>
      </c>
      <c r="H30" s="8" t="s">
        <v>163</v>
      </c>
      <c r="I30" s="8" t="s">
        <v>21</v>
      </c>
      <c r="J30" s="8" t="s">
        <v>22</v>
      </c>
    </row>
    <row r="31" spans="1:10" hidden="1" x14ac:dyDescent="0.35">
      <c r="A31" s="8" t="s">
        <v>164</v>
      </c>
      <c r="B31" s="8" t="s">
        <v>165</v>
      </c>
      <c r="C31" s="12">
        <v>2</v>
      </c>
      <c r="D31" s="8" t="s">
        <v>52</v>
      </c>
      <c r="E31" s="8" t="s">
        <v>53</v>
      </c>
      <c r="F31" s="8" t="s">
        <v>166</v>
      </c>
      <c r="G31" s="8" t="s">
        <v>167</v>
      </c>
      <c r="H31" s="8" t="s">
        <v>168</v>
      </c>
      <c r="I31" s="8" t="s">
        <v>135</v>
      </c>
      <c r="J31" s="8" t="s">
        <v>169</v>
      </c>
    </row>
  </sheetData>
  <mergeCells count="1">
    <mergeCell ref="A1:H1"/>
  </mergeCells>
  <dataValidations count="10">
    <dataValidation type="list" sqref="C4" xr:uid="{00000000-0002-0000-0100-000000000000}">
      <formula1>"RAG / Inference,Generative AI / Inference,Batch Inference,Code Generation / Inference,Computer Vision / Multimodal,Embedding Generation,LoRA / QLoRA Fine-Tuning,Full Fine-Tuning,Foundation Model Training,Predictive ML,Forecasting"</formula1>
      <formula2>0</formula2>
    </dataValidation>
    <dataValidation type="list" sqref="C5" xr:uid="{00000000-0002-0000-0100-000001000000}">
      <formula1>"Simple,Medium,Complex"</formula1>
      <formula2>0</formula2>
    </dataValidation>
    <dataValidation type="list" sqref="C6" xr:uid="{00000000-0002-0000-0100-000002000000}">
      <formula1>"Short,Detailed,Analytical,Report"</formula1>
      <formula2>0</formula2>
    </dataValidation>
    <dataValidation type="list" sqref="C7" xr:uid="{00000000-0002-0000-0100-000003000000}">
      <formula1>"Single,Short,Medium,Long"</formula1>
      <formula2>0</formula2>
    </dataValidation>
    <dataValidation type="list" sqref="C8" xr:uid="{00000000-0002-0000-0100-000004000000}">
      <formula1>"Low,Medium,High"</formula1>
      <formula2>0</formula2>
    </dataValidation>
    <dataValidation type="list" sqref="C9" xr:uid="{00000000-0002-0000-0100-000005000000}">
      <formula1>"None,Basic,Moderate,Advanced"</formula1>
      <formula2>0</formula2>
    </dataValidation>
    <dataValidation type="list" sqref="C11" xr:uid="{00000000-0002-0000-0100-000006000000}">
      <formula1>"English only,English + Hindi,Selected Indian languages,Multilingual,Custom"</formula1>
      <formula2>0</formula2>
    </dataValidation>
    <dataValidation type="list" sqref="C17" xr:uid="{00000000-0002-0000-0100-000007000000}">
      <formula1>"Auto,BF16,FP16,FP8,INT8,INT4"</formula1>
      <formula2>0</formula2>
    </dataValidation>
    <dataValidation type="list" sqref="C18" xr:uid="{00000000-0002-0000-0100-000008000000}">
      <formula1>"Standard,HA,Fault Tolerant"</formula1>
      <formula2>0</formula2>
    </dataValidation>
    <dataValidation type="list" sqref="C20" xr:uid="{00000000-0002-0000-0100-000009000000}">
      <formula1>"None,Backup Only,Warm DR,Hot DR"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53"/>
  <sheetViews>
    <sheetView showGridLines="0" topLeftCell="A3" zoomScaleNormal="100" workbookViewId="0">
      <selection sqref="A1:AB1"/>
    </sheetView>
  </sheetViews>
  <sheetFormatPr defaultColWidth="23" defaultRowHeight="14.5" x14ac:dyDescent="0.35"/>
  <cols>
    <col min="1" max="1" width="15.54296875" style="3" customWidth="1"/>
    <col min="2" max="2" width="28.54296875" style="3" customWidth="1"/>
    <col min="3" max="3" width="25.26953125" style="3" customWidth="1"/>
    <col min="4" max="4" width="19.26953125" style="3" customWidth="1"/>
    <col min="5" max="5" width="26.453125" style="3" customWidth="1"/>
    <col min="6" max="6" width="21.54296875" style="3" customWidth="1"/>
    <col min="7" max="7" width="55.7265625" style="3" customWidth="1"/>
    <col min="8" max="8" width="28.1796875" style="3" customWidth="1"/>
    <col min="9" max="9" width="33.453125" style="3" customWidth="1"/>
    <col min="10" max="10" width="27.453125" style="3" customWidth="1"/>
    <col min="11" max="11" width="62.453125" style="3" customWidth="1"/>
    <col min="12" max="12" width="41.7265625" style="3" customWidth="1"/>
    <col min="13" max="13" width="32.81640625" style="3" customWidth="1"/>
    <col min="14" max="14" width="44" style="3" customWidth="1"/>
    <col min="15" max="15" width="29.26953125" style="3" customWidth="1"/>
    <col min="16" max="16" width="81.26953125" style="3" customWidth="1"/>
    <col min="17" max="17" width="18.1796875" style="3" customWidth="1"/>
    <col min="18" max="18" width="25.26953125" style="3" customWidth="1"/>
    <col min="19" max="19" width="17.81640625" style="3" customWidth="1"/>
    <col min="20" max="20" width="41.26953125" style="3" customWidth="1"/>
    <col min="21" max="21" width="16.1796875" style="3" customWidth="1"/>
    <col min="22" max="22" width="55.81640625" style="3" customWidth="1"/>
    <col min="23" max="23" width="69" style="3" customWidth="1"/>
    <col min="24" max="24" width="18.453125" style="3" customWidth="1"/>
    <col min="25" max="25" width="10.453125" style="3" customWidth="1"/>
    <col min="26" max="26" width="94.81640625" style="3" customWidth="1"/>
    <col min="27" max="27" width="57.26953125" style="3" customWidth="1"/>
    <col min="28" max="28" width="12.81640625" style="3" customWidth="1"/>
    <col min="29" max="29" width="17.453125" style="3" customWidth="1"/>
    <col min="30" max="30" width="7" style="3" customWidth="1"/>
    <col min="31" max="16384" width="23" style="3"/>
  </cols>
  <sheetData>
    <row r="1" spans="1:37" ht="18" customHeight="1" x14ac:dyDescent="0.35">
      <c r="A1" s="17" t="s">
        <v>170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2"/>
      <c r="AD1" s="2"/>
      <c r="AE1" s="2"/>
      <c r="AF1" s="2"/>
      <c r="AG1" s="2"/>
      <c r="AH1" s="2"/>
      <c r="AI1" s="2"/>
      <c r="AJ1" s="2"/>
      <c r="AK1" s="2"/>
    </row>
    <row r="2" spans="1:37" ht="14.25" customHeight="1" x14ac:dyDescent="0.35">
      <c r="A2" s="18" t="s">
        <v>171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28" x14ac:dyDescent="0.35">
      <c r="A3" s="4" t="s">
        <v>154</v>
      </c>
      <c r="B3" s="4" t="s">
        <v>172</v>
      </c>
      <c r="C3" s="4" t="s">
        <v>173</v>
      </c>
      <c r="D3" s="4" t="s">
        <v>174</v>
      </c>
      <c r="E3" s="4" t="s">
        <v>175</v>
      </c>
      <c r="F3" s="4" t="s">
        <v>176</v>
      </c>
      <c r="G3" s="4" t="s">
        <v>177</v>
      </c>
      <c r="H3" s="4" t="s">
        <v>178</v>
      </c>
      <c r="I3" s="4" t="s">
        <v>179</v>
      </c>
      <c r="J3" s="4" t="s">
        <v>180</v>
      </c>
      <c r="K3" s="4" t="s">
        <v>181</v>
      </c>
      <c r="L3" s="4" t="s">
        <v>182</v>
      </c>
      <c r="M3" s="4" t="s">
        <v>183</v>
      </c>
      <c r="N3" s="4" t="s">
        <v>184</v>
      </c>
      <c r="O3" s="4" t="s">
        <v>185</v>
      </c>
      <c r="P3" s="4" t="s">
        <v>186</v>
      </c>
      <c r="Q3" s="4" t="s">
        <v>187</v>
      </c>
      <c r="R3" s="4" t="s">
        <v>188</v>
      </c>
      <c r="S3" s="4" t="s">
        <v>189</v>
      </c>
      <c r="T3" s="4" t="s">
        <v>190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 t="s">
        <v>191</v>
      </c>
      <c r="AF3" s="4" t="s">
        <v>192</v>
      </c>
      <c r="AG3" s="4" t="s">
        <v>193</v>
      </c>
      <c r="AH3" s="4" t="s">
        <v>194</v>
      </c>
      <c r="AI3" s="4" t="s">
        <v>195</v>
      </c>
      <c r="AJ3" s="4" t="s">
        <v>196</v>
      </c>
      <c r="AK3" s="4" t="s">
        <v>197</v>
      </c>
    </row>
    <row r="4" spans="1:37" x14ac:dyDescent="0.35">
      <c r="A4" s="2" t="s">
        <v>198</v>
      </c>
      <c r="B4" s="2" t="s">
        <v>199</v>
      </c>
      <c r="C4" s="2" t="s">
        <v>200</v>
      </c>
      <c r="D4" s="2">
        <v>8</v>
      </c>
      <c r="E4" s="2" t="s">
        <v>201</v>
      </c>
      <c r="F4" s="2">
        <v>131072</v>
      </c>
      <c r="G4" s="2" t="s">
        <v>202</v>
      </c>
      <c r="H4" s="2" t="s">
        <v>41</v>
      </c>
      <c r="I4" s="2" t="s">
        <v>203</v>
      </c>
      <c r="J4" s="2" t="s">
        <v>203</v>
      </c>
      <c r="K4" s="2" t="s">
        <v>203</v>
      </c>
      <c r="L4" s="2" t="s">
        <v>203</v>
      </c>
      <c r="M4" s="2" t="s">
        <v>204</v>
      </c>
      <c r="N4" s="2" t="s">
        <v>205</v>
      </c>
      <c r="O4" s="2" t="s">
        <v>206</v>
      </c>
      <c r="P4" s="2" t="s">
        <v>207</v>
      </c>
      <c r="Q4" s="2" t="s">
        <v>208</v>
      </c>
      <c r="R4" s="2" t="s">
        <v>209</v>
      </c>
      <c r="S4" s="2" t="s">
        <v>210</v>
      </c>
      <c r="T4" s="2" t="s">
        <v>211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 t="s">
        <v>212</v>
      </c>
      <c r="AF4" s="2" t="s">
        <v>212</v>
      </c>
      <c r="AG4" s="2" t="s">
        <v>212</v>
      </c>
      <c r="AH4" s="2" t="s">
        <v>212</v>
      </c>
      <c r="AI4" s="2" t="s">
        <v>212</v>
      </c>
      <c r="AJ4" s="2" t="s">
        <v>212</v>
      </c>
      <c r="AK4" s="2" t="s">
        <v>213</v>
      </c>
    </row>
    <row r="5" spans="1:37" x14ac:dyDescent="0.35">
      <c r="A5" s="2" t="s">
        <v>214</v>
      </c>
      <c r="B5" s="2" t="s">
        <v>199</v>
      </c>
      <c r="C5" s="2" t="s">
        <v>215</v>
      </c>
      <c r="D5" s="2">
        <v>70</v>
      </c>
      <c r="E5" s="2" t="s">
        <v>201</v>
      </c>
      <c r="F5" s="2">
        <v>131072</v>
      </c>
      <c r="G5" s="2" t="s">
        <v>202</v>
      </c>
      <c r="H5" s="2" t="s">
        <v>41</v>
      </c>
      <c r="I5" s="2" t="s">
        <v>203</v>
      </c>
      <c r="J5" s="2" t="s">
        <v>203</v>
      </c>
      <c r="K5" s="2" t="s">
        <v>203</v>
      </c>
      <c r="L5" s="2" t="s">
        <v>203</v>
      </c>
      <c r="M5" s="2" t="s">
        <v>204</v>
      </c>
      <c r="N5" s="2" t="s">
        <v>205</v>
      </c>
      <c r="O5" s="2" t="s">
        <v>206</v>
      </c>
      <c r="P5" s="2" t="s">
        <v>207</v>
      </c>
      <c r="Q5" s="2" t="s">
        <v>208</v>
      </c>
      <c r="R5" s="2" t="s">
        <v>209</v>
      </c>
      <c r="S5" s="2" t="s">
        <v>210</v>
      </c>
      <c r="T5" s="2" t="s">
        <v>216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 t="s">
        <v>212</v>
      </c>
      <c r="AF5" s="2" t="s">
        <v>212</v>
      </c>
      <c r="AG5" s="2" t="s">
        <v>212</v>
      </c>
      <c r="AH5" s="2" t="s">
        <v>212</v>
      </c>
      <c r="AI5" s="2" t="s">
        <v>212</v>
      </c>
      <c r="AJ5" s="2" t="s">
        <v>212</v>
      </c>
      <c r="AK5" s="2" t="s">
        <v>213</v>
      </c>
    </row>
    <row r="6" spans="1:37" x14ac:dyDescent="0.35">
      <c r="A6" s="2" t="s">
        <v>217</v>
      </c>
      <c r="B6" s="2" t="s">
        <v>199</v>
      </c>
      <c r="C6" s="2" t="s">
        <v>218</v>
      </c>
      <c r="D6" s="2">
        <v>70</v>
      </c>
      <c r="E6" s="2" t="s">
        <v>201</v>
      </c>
      <c r="F6" s="2">
        <v>131072</v>
      </c>
      <c r="G6" s="2" t="s">
        <v>202</v>
      </c>
      <c r="H6" s="2" t="s">
        <v>41</v>
      </c>
      <c r="I6" s="2" t="s">
        <v>203</v>
      </c>
      <c r="J6" s="2" t="s">
        <v>203</v>
      </c>
      <c r="K6" s="2" t="s">
        <v>203</v>
      </c>
      <c r="L6" s="2" t="s">
        <v>203</v>
      </c>
      <c r="M6" s="2" t="s">
        <v>219</v>
      </c>
      <c r="N6" s="2" t="s">
        <v>205</v>
      </c>
      <c r="O6" s="2" t="s">
        <v>206</v>
      </c>
      <c r="P6" s="2" t="s">
        <v>220</v>
      </c>
      <c r="Q6" s="2" t="s">
        <v>208</v>
      </c>
      <c r="R6" s="2" t="s">
        <v>209</v>
      </c>
      <c r="S6" s="2" t="s">
        <v>210</v>
      </c>
      <c r="T6" s="2" t="s">
        <v>221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 t="s">
        <v>212</v>
      </c>
      <c r="AF6" s="2" t="s">
        <v>212</v>
      </c>
      <c r="AG6" s="2" t="s">
        <v>212</v>
      </c>
      <c r="AH6" s="2" t="s">
        <v>212</v>
      </c>
      <c r="AI6" s="2" t="s">
        <v>212</v>
      </c>
      <c r="AJ6" s="2" t="s">
        <v>212</v>
      </c>
      <c r="AK6" s="2" t="s">
        <v>213</v>
      </c>
    </row>
    <row r="7" spans="1:37" x14ac:dyDescent="0.35">
      <c r="A7" s="2" t="s">
        <v>222</v>
      </c>
      <c r="B7" s="2" t="s">
        <v>223</v>
      </c>
      <c r="C7" s="2" t="s">
        <v>224</v>
      </c>
      <c r="D7" s="2">
        <v>7</v>
      </c>
      <c r="E7" s="2" t="s">
        <v>201</v>
      </c>
      <c r="F7" s="2">
        <v>32768</v>
      </c>
      <c r="G7" s="2" t="s">
        <v>225</v>
      </c>
      <c r="H7" s="2" t="s">
        <v>41</v>
      </c>
      <c r="I7" s="2" t="s">
        <v>203</v>
      </c>
      <c r="J7" s="2" t="s">
        <v>203</v>
      </c>
      <c r="K7" s="2" t="s">
        <v>203</v>
      </c>
      <c r="L7" s="2" t="s">
        <v>203</v>
      </c>
      <c r="M7" s="2" t="s">
        <v>226</v>
      </c>
      <c r="N7" s="2" t="s">
        <v>203</v>
      </c>
      <c r="O7" s="2" t="s">
        <v>227</v>
      </c>
      <c r="P7" s="2" t="s">
        <v>228</v>
      </c>
      <c r="Q7" s="2" t="s">
        <v>208</v>
      </c>
      <c r="R7" s="2" t="s">
        <v>209</v>
      </c>
      <c r="S7" s="2" t="s">
        <v>210</v>
      </c>
      <c r="T7" s="2" t="s">
        <v>229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 t="s">
        <v>212</v>
      </c>
      <c r="AF7" s="2" t="s">
        <v>212</v>
      </c>
      <c r="AG7" s="2" t="s">
        <v>212</v>
      </c>
      <c r="AH7" s="2" t="s">
        <v>212</v>
      </c>
      <c r="AI7" s="2" t="s">
        <v>212</v>
      </c>
      <c r="AJ7" s="2" t="s">
        <v>212</v>
      </c>
      <c r="AK7" s="2" t="s">
        <v>213</v>
      </c>
    </row>
    <row r="8" spans="1:37" x14ac:dyDescent="0.35">
      <c r="A8" s="2" t="s">
        <v>230</v>
      </c>
      <c r="B8" s="2" t="s">
        <v>223</v>
      </c>
      <c r="C8" s="2" t="s">
        <v>231</v>
      </c>
      <c r="D8" s="2">
        <v>14</v>
      </c>
      <c r="E8" s="2" t="s">
        <v>201</v>
      </c>
      <c r="F8" s="2">
        <v>32768</v>
      </c>
      <c r="G8" s="2" t="s">
        <v>225</v>
      </c>
      <c r="H8" s="2" t="s">
        <v>41</v>
      </c>
      <c r="I8" s="2" t="s">
        <v>203</v>
      </c>
      <c r="J8" s="2" t="s">
        <v>203</v>
      </c>
      <c r="K8" s="2" t="s">
        <v>203</v>
      </c>
      <c r="L8" s="2" t="s">
        <v>203</v>
      </c>
      <c r="M8" s="2" t="s">
        <v>226</v>
      </c>
      <c r="N8" s="2" t="s">
        <v>203</v>
      </c>
      <c r="O8" s="2" t="s">
        <v>227</v>
      </c>
      <c r="P8" s="2" t="s">
        <v>232</v>
      </c>
      <c r="Q8" s="2" t="s">
        <v>208</v>
      </c>
      <c r="R8" s="2" t="s">
        <v>209</v>
      </c>
      <c r="S8" s="2" t="s">
        <v>210</v>
      </c>
      <c r="T8" s="2" t="s">
        <v>233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 t="s">
        <v>212</v>
      </c>
      <c r="AF8" s="2" t="s">
        <v>212</v>
      </c>
      <c r="AG8" s="2" t="s">
        <v>212</v>
      </c>
      <c r="AH8" s="2" t="s">
        <v>212</v>
      </c>
      <c r="AI8" s="2" t="s">
        <v>212</v>
      </c>
      <c r="AJ8" s="2" t="s">
        <v>212</v>
      </c>
      <c r="AK8" s="2" t="s">
        <v>213</v>
      </c>
    </row>
    <row r="9" spans="1:37" x14ac:dyDescent="0.35">
      <c r="A9" s="2" t="s">
        <v>234</v>
      </c>
      <c r="B9" s="2" t="s">
        <v>223</v>
      </c>
      <c r="C9" s="2" t="s">
        <v>235</v>
      </c>
      <c r="D9" s="2">
        <v>32</v>
      </c>
      <c r="E9" s="2" t="s">
        <v>201</v>
      </c>
      <c r="F9" s="2">
        <v>32768</v>
      </c>
      <c r="G9" s="2" t="s">
        <v>225</v>
      </c>
      <c r="H9" s="2" t="s">
        <v>41</v>
      </c>
      <c r="I9" s="2" t="s">
        <v>203</v>
      </c>
      <c r="J9" s="2" t="s">
        <v>203</v>
      </c>
      <c r="K9" s="2" t="s">
        <v>203</v>
      </c>
      <c r="L9" s="2" t="s">
        <v>203</v>
      </c>
      <c r="M9" s="2" t="s">
        <v>226</v>
      </c>
      <c r="N9" s="2" t="s">
        <v>203</v>
      </c>
      <c r="O9" s="2" t="s">
        <v>227</v>
      </c>
      <c r="P9" s="2" t="s">
        <v>228</v>
      </c>
      <c r="Q9" s="2" t="s">
        <v>208</v>
      </c>
      <c r="R9" s="2" t="s">
        <v>209</v>
      </c>
      <c r="S9" s="2" t="s">
        <v>210</v>
      </c>
      <c r="T9" s="2" t="s">
        <v>236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 t="s">
        <v>212</v>
      </c>
      <c r="AF9" s="2" t="s">
        <v>212</v>
      </c>
      <c r="AG9" s="2" t="s">
        <v>212</v>
      </c>
      <c r="AH9" s="2" t="s">
        <v>212</v>
      </c>
      <c r="AI9" s="2" t="s">
        <v>212</v>
      </c>
      <c r="AJ9" s="2" t="s">
        <v>212</v>
      </c>
      <c r="AK9" s="2" t="s">
        <v>213</v>
      </c>
    </row>
    <row r="10" spans="1:37" x14ac:dyDescent="0.35">
      <c r="A10" s="2" t="s">
        <v>237</v>
      </c>
      <c r="B10" s="2" t="s">
        <v>223</v>
      </c>
      <c r="C10" s="2" t="s">
        <v>238</v>
      </c>
      <c r="D10" s="2">
        <v>72</v>
      </c>
      <c r="E10" s="2" t="s">
        <v>201</v>
      </c>
      <c r="F10" s="2">
        <v>32768</v>
      </c>
      <c r="G10" s="2" t="s">
        <v>225</v>
      </c>
      <c r="H10" s="2" t="s">
        <v>41</v>
      </c>
      <c r="I10" s="2" t="s">
        <v>203</v>
      </c>
      <c r="J10" s="2" t="s">
        <v>203</v>
      </c>
      <c r="K10" s="2" t="s">
        <v>203</v>
      </c>
      <c r="L10" s="2" t="s">
        <v>203</v>
      </c>
      <c r="M10" s="2" t="s">
        <v>239</v>
      </c>
      <c r="N10" s="2" t="s">
        <v>205</v>
      </c>
      <c r="O10" s="2" t="s">
        <v>227</v>
      </c>
      <c r="P10" s="2" t="s">
        <v>228</v>
      </c>
      <c r="Q10" s="2" t="s">
        <v>208</v>
      </c>
      <c r="R10" s="2" t="s">
        <v>209</v>
      </c>
      <c r="S10" s="2" t="s">
        <v>240</v>
      </c>
      <c r="T10" s="2" t="s">
        <v>241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 t="s">
        <v>212</v>
      </c>
      <c r="AF10" s="2" t="s">
        <v>212</v>
      </c>
      <c r="AG10" s="2" t="s">
        <v>212</v>
      </c>
      <c r="AH10" s="2" t="s">
        <v>212</v>
      </c>
      <c r="AI10" s="2" t="s">
        <v>212</v>
      </c>
      <c r="AJ10" s="2" t="s">
        <v>212</v>
      </c>
      <c r="AK10" s="2" t="s">
        <v>213</v>
      </c>
    </row>
    <row r="11" spans="1:37" x14ac:dyDescent="0.35">
      <c r="A11" s="2" t="s">
        <v>242</v>
      </c>
      <c r="B11" s="2" t="s">
        <v>243</v>
      </c>
      <c r="C11" s="2" t="s">
        <v>244</v>
      </c>
      <c r="D11" s="2">
        <v>24</v>
      </c>
      <c r="E11" s="2" t="s">
        <v>201</v>
      </c>
      <c r="F11" s="2">
        <v>32768</v>
      </c>
      <c r="G11" s="2" t="s">
        <v>245</v>
      </c>
      <c r="H11" s="2" t="s">
        <v>41</v>
      </c>
      <c r="I11" s="2" t="s">
        <v>203</v>
      </c>
      <c r="J11" s="2" t="s">
        <v>203</v>
      </c>
      <c r="K11" s="2" t="s">
        <v>203</v>
      </c>
      <c r="L11" s="2" t="s">
        <v>203</v>
      </c>
      <c r="M11" s="2" t="s">
        <v>226</v>
      </c>
      <c r="N11" s="2" t="s">
        <v>203</v>
      </c>
      <c r="O11" s="2" t="s">
        <v>246</v>
      </c>
      <c r="P11" s="2" t="s">
        <v>247</v>
      </c>
      <c r="Q11" s="2" t="s">
        <v>208</v>
      </c>
      <c r="R11" s="2" t="s">
        <v>209</v>
      </c>
      <c r="S11" s="2" t="s">
        <v>210</v>
      </c>
      <c r="T11" s="2" t="s">
        <v>248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 t="s">
        <v>212</v>
      </c>
      <c r="AF11" s="2" t="s">
        <v>212</v>
      </c>
      <c r="AG11" s="2" t="s">
        <v>212</v>
      </c>
      <c r="AH11" s="2" t="s">
        <v>212</v>
      </c>
      <c r="AI11" s="2" t="s">
        <v>212</v>
      </c>
      <c r="AJ11" s="2" t="s">
        <v>212</v>
      </c>
      <c r="AK11" s="2" t="s">
        <v>213</v>
      </c>
    </row>
    <row r="12" spans="1:37" x14ac:dyDescent="0.35">
      <c r="A12" s="2" t="s">
        <v>249</v>
      </c>
      <c r="B12" s="2" t="s">
        <v>243</v>
      </c>
      <c r="C12" s="2" t="s">
        <v>250</v>
      </c>
      <c r="D12" s="2">
        <v>24</v>
      </c>
      <c r="E12" s="2" t="s">
        <v>251</v>
      </c>
      <c r="F12" s="2">
        <v>131072</v>
      </c>
      <c r="G12" s="2" t="s">
        <v>252</v>
      </c>
      <c r="H12" s="2" t="s">
        <v>41</v>
      </c>
      <c r="I12" s="2" t="s">
        <v>203</v>
      </c>
      <c r="J12" s="2" t="s">
        <v>203</v>
      </c>
      <c r="K12" s="2" t="s">
        <v>203</v>
      </c>
      <c r="L12" s="2" t="s">
        <v>203</v>
      </c>
      <c r="M12" s="2" t="s">
        <v>226</v>
      </c>
      <c r="N12" s="2" t="s">
        <v>203</v>
      </c>
      <c r="O12" s="2" t="s">
        <v>246</v>
      </c>
      <c r="P12" s="2" t="s">
        <v>253</v>
      </c>
      <c r="Q12" s="2" t="s">
        <v>208</v>
      </c>
      <c r="R12" s="2" t="s">
        <v>209</v>
      </c>
      <c r="S12" s="2" t="s">
        <v>210</v>
      </c>
      <c r="T12" s="2" t="s">
        <v>254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 t="s">
        <v>212</v>
      </c>
      <c r="AF12" s="2" t="s">
        <v>212</v>
      </c>
      <c r="AG12" s="2" t="s">
        <v>212</v>
      </c>
      <c r="AH12" s="2" t="s">
        <v>212</v>
      </c>
      <c r="AI12" s="2" t="s">
        <v>212</v>
      </c>
      <c r="AJ12" s="2" t="s">
        <v>212</v>
      </c>
      <c r="AK12" s="2" t="s">
        <v>213</v>
      </c>
    </row>
    <row r="13" spans="1:37" x14ac:dyDescent="0.35">
      <c r="A13" s="2" t="s">
        <v>255</v>
      </c>
      <c r="B13" s="2" t="s">
        <v>256</v>
      </c>
      <c r="C13" s="2" t="s">
        <v>257</v>
      </c>
      <c r="D13" s="2" t="s">
        <v>258</v>
      </c>
      <c r="E13" s="2" t="s">
        <v>259</v>
      </c>
      <c r="F13" s="2" t="s">
        <v>260</v>
      </c>
      <c r="G13" s="2" t="s">
        <v>261</v>
      </c>
      <c r="H13" s="2" t="s">
        <v>262</v>
      </c>
      <c r="I13" s="2" t="s">
        <v>263</v>
      </c>
      <c r="J13" s="2" t="s">
        <v>264</v>
      </c>
      <c r="K13" s="2" t="s">
        <v>203</v>
      </c>
      <c r="L13" s="2" t="s">
        <v>203</v>
      </c>
      <c r="M13" s="2" t="s">
        <v>265</v>
      </c>
      <c r="N13" s="2" t="s">
        <v>205</v>
      </c>
      <c r="O13" s="2" t="s">
        <v>266</v>
      </c>
      <c r="P13" s="2" t="s">
        <v>267</v>
      </c>
      <c r="Q13" s="2" t="s">
        <v>208</v>
      </c>
      <c r="R13" s="2" t="s">
        <v>268</v>
      </c>
      <c r="S13" s="2" t="s">
        <v>210</v>
      </c>
      <c r="T13" s="2" t="s">
        <v>269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 t="s">
        <v>212</v>
      </c>
      <c r="AF13" s="2" t="s">
        <v>212</v>
      </c>
      <c r="AG13" s="2" t="s">
        <v>212</v>
      </c>
      <c r="AH13" s="2" t="s">
        <v>22</v>
      </c>
      <c r="AI13" s="2" t="s">
        <v>22</v>
      </c>
      <c r="AJ13" s="2" t="s">
        <v>212</v>
      </c>
      <c r="AK13" s="2" t="s">
        <v>213</v>
      </c>
    </row>
    <row r="14" spans="1:37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14.25" customHeight="1" x14ac:dyDescent="0.35">
      <c r="A16" s="18" t="s">
        <v>270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x14ac:dyDescent="0.35">
      <c r="A17" s="5" t="s">
        <v>20</v>
      </c>
      <c r="B17" s="5" t="s">
        <v>271</v>
      </c>
      <c r="C17" s="5" t="s">
        <v>24</v>
      </c>
      <c r="D17" s="5" t="s">
        <v>30</v>
      </c>
      <c r="E17" s="5" t="s">
        <v>272</v>
      </c>
      <c r="F17" s="5" t="s">
        <v>46</v>
      </c>
      <c r="G17" s="5" t="s">
        <v>273</v>
      </c>
      <c r="H17" s="5" t="s">
        <v>274</v>
      </c>
      <c r="I17" s="5" t="s">
        <v>275</v>
      </c>
      <c r="J17" s="5" t="s">
        <v>276</v>
      </c>
      <c r="K17" s="5" t="s">
        <v>277</v>
      </c>
      <c r="L17" s="5" t="s">
        <v>278</v>
      </c>
      <c r="M17" s="5" t="s">
        <v>279</v>
      </c>
      <c r="N17" s="5" t="s">
        <v>280</v>
      </c>
      <c r="O17" s="5" t="s">
        <v>281</v>
      </c>
      <c r="P17" s="5" t="s">
        <v>282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x14ac:dyDescent="0.35">
      <c r="A18" s="2" t="s">
        <v>283</v>
      </c>
      <c r="B18" s="2" t="s">
        <v>284</v>
      </c>
      <c r="C18" s="2" t="s">
        <v>25</v>
      </c>
      <c r="D18" s="2" t="s">
        <v>264</v>
      </c>
      <c r="E18" s="2" t="s">
        <v>285</v>
      </c>
      <c r="F18" s="2" t="s">
        <v>286</v>
      </c>
      <c r="G18" s="2">
        <v>0</v>
      </c>
      <c r="H18" s="2" t="s">
        <v>287</v>
      </c>
      <c r="I18" s="2" t="s">
        <v>259</v>
      </c>
      <c r="J18" s="2" t="s">
        <v>288</v>
      </c>
      <c r="K18" s="2" t="s">
        <v>289</v>
      </c>
      <c r="L18" s="2" t="s">
        <v>290</v>
      </c>
      <c r="M18" s="2" t="s">
        <v>291</v>
      </c>
      <c r="N18" s="2" t="s">
        <v>292</v>
      </c>
      <c r="O18" s="2" t="s">
        <v>210</v>
      </c>
      <c r="P18" s="2" t="s">
        <v>293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x14ac:dyDescent="0.35">
      <c r="A19" s="2" t="s">
        <v>294</v>
      </c>
      <c r="B19" s="2" t="s">
        <v>295</v>
      </c>
      <c r="C19" s="2" t="s">
        <v>25</v>
      </c>
      <c r="D19" s="2" t="s">
        <v>296</v>
      </c>
      <c r="E19" s="2" t="s">
        <v>297</v>
      </c>
      <c r="F19" s="2" t="s">
        <v>298</v>
      </c>
      <c r="G19" s="2" t="s">
        <v>299</v>
      </c>
      <c r="H19" s="2" t="s">
        <v>300</v>
      </c>
      <c r="I19" s="2" t="s">
        <v>301</v>
      </c>
      <c r="J19" s="2" t="s">
        <v>302</v>
      </c>
      <c r="K19" s="2" t="s">
        <v>303</v>
      </c>
      <c r="L19" s="2" t="s">
        <v>304</v>
      </c>
      <c r="M19" s="2" t="s">
        <v>305</v>
      </c>
      <c r="N19" s="2" t="s">
        <v>306</v>
      </c>
      <c r="O19" s="2" t="s">
        <v>210</v>
      </c>
      <c r="P19" s="2" t="s">
        <v>307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x14ac:dyDescent="0.35">
      <c r="A20" s="2" t="s">
        <v>308</v>
      </c>
      <c r="B20" s="2" t="s">
        <v>309</v>
      </c>
      <c r="C20" s="2" t="s">
        <v>36</v>
      </c>
      <c r="D20" s="2" t="s">
        <v>31</v>
      </c>
      <c r="E20" s="2" t="s">
        <v>310</v>
      </c>
      <c r="F20" s="2" t="s">
        <v>311</v>
      </c>
      <c r="G20" s="2" t="s">
        <v>312</v>
      </c>
      <c r="H20" s="2" t="s">
        <v>313</v>
      </c>
      <c r="I20" s="2" t="s">
        <v>314</v>
      </c>
      <c r="J20" s="2" t="s">
        <v>315</v>
      </c>
      <c r="K20" s="2" t="s">
        <v>316</v>
      </c>
      <c r="L20" s="2" t="s">
        <v>317</v>
      </c>
      <c r="M20" s="2" t="s">
        <v>318</v>
      </c>
      <c r="N20" s="2" t="s">
        <v>306</v>
      </c>
      <c r="O20" s="2" t="s">
        <v>210</v>
      </c>
      <c r="P20" s="2" t="s">
        <v>319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x14ac:dyDescent="0.35">
      <c r="A21" s="2" t="s">
        <v>320</v>
      </c>
      <c r="B21" s="2" t="s">
        <v>321</v>
      </c>
      <c r="C21" s="2" t="s">
        <v>322</v>
      </c>
      <c r="D21" s="2" t="s">
        <v>323</v>
      </c>
      <c r="E21" s="2" t="s">
        <v>324</v>
      </c>
      <c r="F21" s="2" t="s">
        <v>325</v>
      </c>
      <c r="G21" s="2" t="s">
        <v>326</v>
      </c>
      <c r="H21" s="2" t="s">
        <v>327</v>
      </c>
      <c r="I21" s="2" t="s">
        <v>328</v>
      </c>
      <c r="J21" s="2" t="s">
        <v>329</v>
      </c>
      <c r="K21" s="2" t="s">
        <v>330</v>
      </c>
      <c r="L21" s="2" t="s">
        <v>317</v>
      </c>
      <c r="M21" s="2" t="s">
        <v>331</v>
      </c>
      <c r="N21" s="2" t="s">
        <v>332</v>
      </c>
      <c r="O21" s="2" t="s">
        <v>210</v>
      </c>
      <c r="P21" s="2" t="s">
        <v>333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x14ac:dyDescent="0.35">
      <c r="A22" s="2" t="s">
        <v>334</v>
      </c>
      <c r="B22" s="2" t="s">
        <v>335</v>
      </c>
      <c r="C22" s="2" t="s">
        <v>336</v>
      </c>
      <c r="D22" s="2" t="s">
        <v>337</v>
      </c>
      <c r="E22" s="2" t="s">
        <v>338</v>
      </c>
      <c r="F22" s="2" t="s">
        <v>311</v>
      </c>
      <c r="G22" s="2" t="s">
        <v>339</v>
      </c>
      <c r="H22" s="2" t="s">
        <v>327</v>
      </c>
      <c r="I22" s="2" t="s">
        <v>340</v>
      </c>
      <c r="J22" s="2" t="s">
        <v>341</v>
      </c>
      <c r="K22" s="2" t="s">
        <v>342</v>
      </c>
      <c r="L22" s="2" t="s">
        <v>343</v>
      </c>
      <c r="M22" s="2" t="s">
        <v>344</v>
      </c>
      <c r="N22" s="2" t="s">
        <v>345</v>
      </c>
      <c r="O22" s="2" t="s">
        <v>210</v>
      </c>
      <c r="P22" s="2" t="s">
        <v>346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x14ac:dyDescent="0.35">
      <c r="A23" s="2" t="s">
        <v>347</v>
      </c>
      <c r="B23" s="2" t="s">
        <v>348</v>
      </c>
      <c r="C23" s="2" t="s">
        <v>322</v>
      </c>
      <c r="D23" s="2" t="s">
        <v>337</v>
      </c>
      <c r="E23" s="2" t="s">
        <v>349</v>
      </c>
      <c r="F23" s="2" t="s">
        <v>350</v>
      </c>
      <c r="G23" s="2" t="s">
        <v>351</v>
      </c>
      <c r="H23" s="2" t="s">
        <v>327</v>
      </c>
      <c r="I23" s="2" t="s">
        <v>352</v>
      </c>
      <c r="J23" s="2" t="s">
        <v>329</v>
      </c>
      <c r="K23" s="2" t="s">
        <v>353</v>
      </c>
      <c r="L23" s="2" t="s">
        <v>354</v>
      </c>
      <c r="M23" s="2" t="s">
        <v>331</v>
      </c>
      <c r="N23" s="2" t="s">
        <v>355</v>
      </c>
      <c r="O23" s="2" t="s">
        <v>210</v>
      </c>
      <c r="P23" s="2" t="s">
        <v>356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x14ac:dyDescent="0.35">
      <c r="A24" s="2" t="s">
        <v>357</v>
      </c>
      <c r="B24" s="2" t="s">
        <v>358</v>
      </c>
      <c r="C24" s="2" t="s">
        <v>36</v>
      </c>
      <c r="D24" s="2" t="s">
        <v>359</v>
      </c>
      <c r="E24" s="2" t="s">
        <v>349</v>
      </c>
      <c r="F24" s="2" t="s">
        <v>286</v>
      </c>
      <c r="G24" s="2">
        <v>0</v>
      </c>
      <c r="H24" s="2" t="s">
        <v>360</v>
      </c>
      <c r="I24" s="2" t="s">
        <v>361</v>
      </c>
      <c r="J24" s="2" t="s">
        <v>362</v>
      </c>
      <c r="K24" s="2" t="s">
        <v>363</v>
      </c>
      <c r="L24" s="2" t="s">
        <v>364</v>
      </c>
      <c r="M24" s="2" t="s">
        <v>365</v>
      </c>
      <c r="N24" s="2" t="s">
        <v>366</v>
      </c>
      <c r="O24" s="2" t="s">
        <v>210</v>
      </c>
      <c r="P24" s="2" t="s">
        <v>367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x14ac:dyDescent="0.35">
      <c r="A25" s="2" t="s">
        <v>368</v>
      </c>
      <c r="B25" s="2" t="s">
        <v>369</v>
      </c>
      <c r="C25" s="2" t="s">
        <v>370</v>
      </c>
      <c r="D25" s="2" t="s">
        <v>370</v>
      </c>
      <c r="E25" s="2" t="s">
        <v>371</v>
      </c>
      <c r="F25" s="2" t="s">
        <v>22</v>
      </c>
      <c r="G25" s="2">
        <v>0</v>
      </c>
      <c r="H25" s="2" t="s">
        <v>370</v>
      </c>
      <c r="I25" s="2" t="s">
        <v>372</v>
      </c>
      <c r="J25" s="2" t="s">
        <v>373</v>
      </c>
      <c r="K25" s="2" t="s">
        <v>374</v>
      </c>
      <c r="L25" s="2" t="s">
        <v>375</v>
      </c>
      <c r="M25" s="2" t="s">
        <v>376</v>
      </c>
      <c r="N25" s="2" t="s">
        <v>377</v>
      </c>
      <c r="O25" s="2" t="s">
        <v>210</v>
      </c>
      <c r="P25" s="2" t="s">
        <v>378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x14ac:dyDescent="0.35">
      <c r="A26" s="2" t="s">
        <v>379</v>
      </c>
      <c r="B26" s="2" t="s">
        <v>380</v>
      </c>
      <c r="C26" s="2" t="s">
        <v>370</v>
      </c>
      <c r="D26" s="2" t="s">
        <v>370</v>
      </c>
      <c r="E26" s="2" t="s">
        <v>371</v>
      </c>
      <c r="F26" s="2" t="s">
        <v>22</v>
      </c>
      <c r="G26" s="2">
        <v>0</v>
      </c>
      <c r="H26" s="2" t="s">
        <v>370</v>
      </c>
      <c r="I26" s="2" t="s">
        <v>381</v>
      </c>
      <c r="J26" s="2" t="s">
        <v>373</v>
      </c>
      <c r="K26" s="2" t="s">
        <v>382</v>
      </c>
      <c r="L26" s="2" t="s">
        <v>383</v>
      </c>
      <c r="M26" s="2" t="s">
        <v>384</v>
      </c>
      <c r="N26" s="2" t="s">
        <v>385</v>
      </c>
      <c r="O26" s="2" t="s">
        <v>210</v>
      </c>
      <c r="P26" s="2" t="s">
        <v>386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x14ac:dyDescent="0.35">
      <c r="A27" s="2" t="s">
        <v>387</v>
      </c>
      <c r="B27" s="2" t="s">
        <v>388</v>
      </c>
      <c r="C27" s="2" t="s">
        <v>389</v>
      </c>
      <c r="D27" s="2" t="s">
        <v>22</v>
      </c>
      <c r="E27" s="2" t="s">
        <v>390</v>
      </c>
      <c r="F27" s="2" t="s">
        <v>22</v>
      </c>
      <c r="G27" s="2">
        <v>0</v>
      </c>
      <c r="H27" s="2" t="s">
        <v>391</v>
      </c>
      <c r="I27" s="2" t="s">
        <v>392</v>
      </c>
      <c r="J27" s="2" t="s">
        <v>393</v>
      </c>
      <c r="K27" s="2" t="s">
        <v>394</v>
      </c>
      <c r="L27" s="2" t="s">
        <v>395</v>
      </c>
      <c r="M27" s="2" t="s">
        <v>396</v>
      </c>
      <c r="N27" s="2" t="s">
        <v>397</v>
      </c>
      <c r="O27" s="2" t="s">
        <v>210</v>
      </c>
      <c r="P27" s="2" t="s">
        <v>398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x14ac:dyDescent="0.35">
      <c r="A28" s="2" t="s">
        <v>399</v>
      </c>
      <c r="B28" s="2" t="s">
        <v>400</v>
      </c>
      <c r="C28" s="2" t="s">
        <v>336</v>
      </c>
      <c r="D28" s="2" t="s">
        <v>337</v>
      </c>
      <c r="E28" s="2" t="s">
        <v>349</v>
      </c>
      <c r="F28" s="2" t="s">
        <v>311</v>
      </c>
      <c r="G28" s="2" t="s">
        <v>339</v>
      </c>
      <c r="H28" s="2" t="s">
        <v>360</v>
      </c>
      <c r="I28" s="2" t="s">
        <v>401</v>
      </c>
      <c r="J28" s="2" t="s">
        <v>402</v>
      </c>
      <c r="K28" s="2" t="s">
        <v>403</v>
      </c>
      <c r="L28" s="2" t="s">
        <v>404</v>
      </c>
      <c r="M28" s="2" t="s">
        <v>405</v>
      </c>
      <c r="N28" s="2" t="s">
        <v>406</v>
      </c>
      <c r="O28" s="2" t="s">
        <v>210</v>
      </c>
      <c r="P28" s="2" t="s">
        <v>407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ht="14.25" customHeight="1" x14ac:dyDescent="0.35">
      <c r="A29" s="18" t="s">
        <v>408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2"/>
      <c r="AD29" s="2"/>
      <c r="AE29" s="2"/>
      <c r="AF29" s="2"/>
      <c r="AG29" s="2"/>
      <c r="AH29" s="2"/>
      <c r="AI29" s="2"/>
      <c r="AJ29" s="2"/>
      <c r="AK29" s="2"/>
    </row>
    <row r="30" spans="1:37" ht="28" x14ac:dyDescent="0.35">
      <c r="A30" s="4" t="s">
        <v>409</v>
      </c>
      <c r="B30" s="4" t="s">
        <v>20</v>
      </c>
      <c r="C30" s="4" t="s">
        <v>154</v>
      </c>
      <c r="D30" s="4" t="s">
        <v>410</v>
      </c>
      <c r="E30" s="4" t="s">
        <v>14</v>
      </c>
      <c r="F30" s="4" t="s">
        <v>411</v>
      </c>
      <c r="G30" s="4" t="s">
        <v>412</v>
      </c>
      <c r="H30" s="4" t="s">
        <v>413</v>
      </c>
      <c r="I30" s="4" t="s">
        <v>414</v>
      </c>
      <c r="J30" s="4" t="s">
        <v>415</v>
      </c>
      <c r="K30" s="4" t="s">
        <v>416</v>
      </c>
      <c r="L30" s="4" t="s">
        <v>417</v>
      </c>
      <c r="M30" s="4" t="s">
        <v>418</v>
      </c>
      <c r="N30" s="4" t="s">
        <v>419</v>
      </c>
      <c r="O30" s="4" t="s">
        <v>420</v>
      </c>
      <c r="P30" s="4" t="s">
        <v>421</v>
      </c>
      <c r="Q30" s="4" t="s">
        <v>422</v>
      </c>
      <c r="R30" s="4" t="s">
        <v>423</v>
      </c>
      <c r="S30" s="4" t="s">
        <v>424</v>
      </c>
      <c r="T30" s="4" t="s">
        <v>425</v>
      </c>
      <c r="U30" s="4" t="s">
        <v>426</v>
      </c>
      <c r="V30" s="4" t="s">
        <v>427</v>
      </c>
      <c r="W30" s="4" t="s">
        <v>428</v>
      </c>
      <c r="X30" s="4" t="s">
        <v>429</v>
      </c>
      <c r="Y30" s="4" t="s">
        <v>430</v>
      </c>
      <c r="Z30" s="4" t="s">
        <v>431</v>
      </c>
      <c r="AA30" s="4" t="s">
        <v>190</v>
      </c>
      <c r="AB30" s="4" t="s">
        <v>189</v>
      </c>
      <c r="AC30" s="4" t="s">
        <v>432</v>
      </c>
      <c r="AD30" s="4" t="s">
        <v>433</v>
      </c>
      <c r="AE30" s="4" t="s">
        <v>434</v>
      </c>
      <c r="AF30" s="4" t="s">
        <v>435</v>
      </c>
      <c r="AG30" s="4" t="s">
        <v>436</v>
      </c>
      <c r="AH30" s="4" t="s">
        <v>437</v>
      </c>
      <c r="AI30" s="2"/>
      <c r="AJ30" s="2"/>
      <c r="AK30" s="2"/>
    </row>
    <row r="31" spans="1:37" ht="29" x14ac:dyDescent="0.35">
      <c r="A31" s="2" t="s">
        <v>438</v>
      </c>
      <c r="B31" s="2" t="s">
        <v>294</v>
      </c>
      <c r="C31" s="2" t="s">
        <v>198</v>
      </c>
      <c r="D31" s="2" t="s">
        <v>200</v>
      </c>
      <c r="E31" s="2" t="s">
        <v>439</v>
      </c>
      <c r="F31" s="2" t="s">
        <v>440</v>
      </c>
      <c r="G31" s="2">
        <v>2</v>
      </c>
      <c r="H31" s="2">
        <v>16</v>
      </c>
      <c r="I31" s="2" t="s">
        <v>258</v>
      </c>
      <c r="J31" s="2" t="s">
        <v>258</v>
      </c>
      <c r="K31" s="2" t="s">
        <v>441</v>
      </c>
      <c r="L31" s="2" t="s">
        <v>442</v>
      </c>
      <c r="M31" s="2" t="s">
        <v>443</v>
      </c>
      <c r="N31" s="2">
        <v>24</v>
      </c>
      <c r="O31" s="2">
        <v>1</v>
      </c>
      <c r="P31" s="2" t="s">
        <v>258</v>
      </c>
      <c r="Q31" s="2" t="s">
        <v>444</v>
      </c>
      <c r="R31" s="2" t="s">
        <v>445</v>
      </c>
      <c r="S31" s="2" t="s">
        <v>446</v>
      </c>
      <c r="T31" s="2" t="s">
        <v>447</v>
      </c>
      <c r="U31" s="2">
        <v>1</v>
      </c>
      <c r="V31" s="2" t="s">
        <v>448</v>
      </c>
      <c r="W31" s="2" t="s">
        <v>449</v>
      </c>
      <c r="X31" s="2" t="s">
        <v>450</v>
      </c>
      <c r="Y31" s="2" t="s">
        <v>43</v>
      </c>
      <c r="Z31" s="2" t="s">
        <v>451</v>
      </c>
      <c r="AA31" s="2" t="s">
        <v>452</v>
      </c>
      <c r="AB31" s="2" t="s">
        <v>210</v>
      </c>
      <c r="AC31" s="6" t="str">
        <f t="shared" ref="AC31:AC53" si="0">C31&amp;"|"&amp;B31</f>
        <v>MOD-001|WRK-002</v>
      </c>
      <c r="AD31" s="6">
        <f t="shared" ref="AD31:AD50" si="1">IF(S31="Confirmed",1,IF(S31="Confirmed example",2,3))</f>
        <v>2</v>
      </c>
      <c r="AE31" s="2" t="s">
        <v>453</v>
      </c>
      <c r="AF31" s="2" t="s">
        <v>454</v>
      </c>
      <c r="AG31" s="2" t="s">
        <v>455</v>
      </c>
      <c r="AH31" s="2" t="s">
        <v>135</v>
      </c>
      <c r="AI31" s="2"/>
      <c r="AJ31" s="2"/>
      <c r="AK31" s="2"/>
    </row>
    <row r="32" spans="1:37" ht="29" x14ac:dyDescent="0.35">
      <c r="A32" s="2" t="s">
        <v>456</v>
      </c>
      <c r="B32" s="2" t="s">
        <v>294</v>
      </c>
      <c r="C32" s="2" t="s">
        <v>198</v>
      </c>
      <c r="D32" s="2" t="s">
        <v>200</v>
      </c>
      <c r="E32" s="2" t="s">
        <v>439</v>
      </c>
      <c r="F32" s="2" t="s">
        <v>440</v>
      </c>
      <c r="G32" s="2">
        <v>2</v>
      </c>
      <c r="H32" s="2">
        <v>16</v>
      </c>
      <c r="I32" s="2" t="s">
        <v>258</v>
      </c>
      <c r="J32" s="2" t="s">
        <v>258</v>
      </c>
      <c r="K32" s="2" t="s">
        <v>457</v>
      </c>
      <c r="L32" s="2" t="s">
        <v>442</v>
      </c>
      <c r="M32" s="2" t="s">
        <v>458</v>
      </c>
      <c r="N32" s="2">
        <v>48</v>
      </c>
      <c r="O32" s="2">
        <v>1</v>
      </c>
      <c r="P32" s="2" t="s">
        <v>258</v>
      </c>
      <c r="Q32" s="2" t="s">
        <v>459</v>
      </c>
      <c r="R32" s="2" t="s">
        <v>460</v>
      </c>
      <c r="S32" s="2" t="s">
        <v>461</v>
      </c>
      <c r="T32" s="2" t="s">
        <v>462</v>
      </c>
      <c r="U32" s="2">
        <v>1</v>
      </c>
      <c r="V32" s="2" t="s">
        <v>448</v>
      </c>
      <c r="W32" s="2" t="s">
        <v>463</v>
      </c>
      <c r="X32" s="2" t="s">
        <v>450</v>
      </c>
      <c r="Y32" s="2" t="s">
        <v>43</v>
      </c>
      <c r="Z32" s="2" t="s">
        <v>451</v>
      </c>
      <c r="AA32" s="2" t="s">
        <v>464</v>
      </c>
      <c r="AB32" s="2" t="s">
        <v>210</v>
      </c>
      <c r="AC32" s="6" t="str">
        <f t="shared" si="0"/>
        <v>MOD-001|WRK-002</v>
      </c>
      <c r="AD32" s="6">
        <f t="shared" si="1"/>
        <v>1</v>
      </c>
      <c r="AE32" s="2" t="s">
        <v>465</v>
      </c>
      <c r="AF32" s="2" t="s">
        <v>454</v>
      </c>
      <c r="AG32" s="2" t="s">
        <v>455</v>
      </c>
      <c r="AH32" s="2" t="s">
        <v>135</v>
      </c>
      <c r="AI32" s="2"/>
      <c r="AJ32" s="2"/>
      <c r="AK32" s="2"/>
    </row>
    <row r="33" spans="1:37" ht="29" x14ac:dyDescent="0.35">
      <c r="A33" s="2" t="s">
        <v>466</v>
      </c>
      <c r="B33" s="2" t="s">
        <v>294</v>
      </c>
      <c r="C33" s="2" t="s">
        <v>222</v>
      </c>
      <c r="D33" s="2" t="s">
        <v>224</v>
      </c>
      <c r="E33" s="2" t="s">
        <v>439</v>
      </c>
      <c r="F33" s="2" t="s">
        <v>440</v>
      </c>
      <c r="G33" s="2">
        <v>2</v>
      </c>
      <c r="H33" s="2">
        <v>14</v>
      </c>
      <c r="I33" s="2" t="s">
        <v>258</v>
      </c>
      <c r="J33" s="2" t="s">
        <v>258</v>
      </c>
      <c r="K33" s="2" t="s">
        <v>457</v>
      </c>
      <c r="L33" s="2" t="s">
        <v>442</v>
      </c>
      <c r="M33" s="2" t="s">
        <v>458</v>
      </c>
      <c r="N33" s="2">
        <v>48</v>
      </c>
      <c r="O33" s="2">
        <v>1</v>
      </c>
      <c r="P33" s="2" t="s">
        <v>258</v>
      </c>
      <c r="Q33" s="2" t="s">
        <v>459</v>
      </c>
      <c r="R33" s="2" t="s">
        <v>460</v>
      </c>
      <c r="S33" s="2" t="s">
        <v>461</v>
      </c>
      <c r="T33" s="2" t="s">
        <v>467</v>
      </c>
      <c r="U33" s="2">
        <v>1</v>
      </c>
      <c r="V33" s="2" t="s">
        <v>448</v>
      </c>
      <c r="W33" s="2" t="s">
        <v>468</v>
      </c>
      <c r="X33" s="2" t="s">
        <v>450</v>
      </c>
      <c r="Y33" s="2" t="s">
        <v>43</v>
      </c>
      <c r="Z33" s="2" t="s">
        <v>228</v>
      </c>
      <c r="AA33" s="2" t="s">
        <v>469</v>
      </c>
      <c r="AB33" s="2" t="s">
        <v>210</v>
      </c>
      <c r="AC33" s="6" t="str">
        <f t="shared" si="0"/>
        <v>MOD-004|WRK-002</v>
      </c>
      <c r="AD33" s="6">
        <f t="shared" si="1"/>
        <v>1</v>
      </c>
      <c r="AE33" s="2" t="s">
        <v>465</v>
      </c>
      <c r="AF33" s="2" t="s">
        <v>454</v>
      </c>
      <c r="AG33" s="2" t="s">
        <v>455</v>
      </c>
      <c r="AH33" s="2" t="s">
        <v>135</v>
      </c>
      <c r="AI33" s="2"/>
      <c r="AJ33" s="2"/>
      <c r="AK33" s="2"/>
    </row>
    <row r="34" spans="1:37" ht="29" x14ac:dyDescent="0.35">
      <c r="A34" s="2" t="s">
        <v>470</v>
      </c>
      <c r="B34" s="2" t="s">
        <v>308</v>
      </c>
      <c r="C34" s="2" t="s">
        <v>230</v>
      </c>
      <c r="D34" s="2" t="s">
        <v>231</v>
      </c>
      <c r="E34" s="2" t="s">
        <v>439</v>
      </c>
      <c r="F34" s="2" t="s">
        <v>440</v>
      </c>
      <c r="G34" s="2">
        <v>2</v>
      </c>
      <c r="H34" s="2">
        <v>28</v>
      </c>
      <c r="I34" s="2" t="s">
        <v>258</v>
      </c>
      <c r="J34" s="2" t="s">
        <v>258</v>
      </c>
      <c r="K34" s="2" t="s">
        <v>457</v>
      </c>
      <c r="L34" s="2" t="s">
        <v>442</v>
      </c>
      <c r="M34" s="2" t="s">
        <v>458</v>
      </c>
      <c r="N34" s="2">
        <v>48</v>
      </c>
      <c r="O34" s="2">
        <v>1</v>
      </c>
      <c r="P34" s="2" t="s">
        <v>258</v>
      </c>
      <c r="Q34" s="2" t="s">
        <v>459</v>
      </c>
      <c r="R34" s="2" t="s">
        <v>460</v>
      </c>
      <c r="S34" s="2" t="s">
        <v>461</v>
      </c>
      <c r="T34" s="2" t="s">
        <v>467</v>
      </c>
      <c r="U34" s="2">
        <v>1</v>
      </c>
      <c r="V34" s="2" t="s">
        <v>448</v>
      </c>
      <c r="W34" s="2" t="s">
        <v>468</v>
      </c>
      <c r="X34" s="2" t="s">
        <v>450</v>
      </c>
      <c r="Y34" s="2" t="s">
        <v>43</v>
      </c>
      <c r="Z34" s="2" t="s">
        <v>232</v>
      </c>
      <c r="AA34" s="2" t="s">
        <v>471</v>
      </c>
      <c r="AB34" s="2" t="s">
        <v>210</v>
      </c>
      <c r="AC34" s="6" t="str">
        <f t="shared" si="0"/>
        <v>MOD-005|WRK-003</v>
      </c>
      <c r="AD34" s="6">
        <f t="shared" si="1"/>
        <v>1</v>
      </c>
      <c r="AE34" s="2" t="s">
        <v>465</v>
      </c>
      <c r="AF34" s="2" t="s">
        <v>454</v>
      </c>
      <c r="AG34" s="2" t="s">
        <v>455</v>
      </c>
      <c r="AH34" s="2" t="s">
        <v>135</v>
      </c>
      <c r="AI34" s="2"/>
      <c r="AJ34" s="2"/>
      <c r="AK34" s="2"/>
    </row>
    <row r="35" spans="1:37" ht="29" x14ac:dyDescent="0.35">
      <c r="A35" s="2" t="s">
        <v>472</v>
      </c>
      <c r="B35" s="2" t="s">
        <v>308</v>
      </c>
      <c r="C35" s="2" t="s">
        <v>242</v>
      </c>
      <c r="D35" s="2" t="s">
        <v>473</v>
      </c>
      <c r="E35" s="2" t="s">
        <v>439</v>
      </c>
      <c r="F35" s="2" t="s">
        <v>474</v>
      </c>
      <c r="G35" s="2">
        <v>1</v>
      </c>
      <c r="H35" s="2">
        <v>24</v>
      </c>
      <c r="I35" s="2" t="s">
        <v>258</v>
      </c>
      <c r="J35" s="2" t="s">
        <v>258</v>
      </c>
      <c r="K35" s="2" t="s">
        <v>457</v>
      </c>
      <c r="L35" s="2" t="s">
        <v>442</v>
      </c>
      <c r="M35" s="2" t="s">
        <v>458</v>
      </c>
      <c r="N35" s="2">
        <v>48</v>
      </c>
      <c r="O35" s="2">
        <v>1</v>
      </c>
      <c r="P35" s="2" t="s">
        <v>258</v>
      </c>
      <c r="Q35" s="2" t="s">
        <v>459</v>
      </c>
      <c r="R35" s="2" t="s">
        <v>460</v>
      </c>
      <c r="S35" s="2" t="s">
        <v>461</v>
      </c>
      <c r="T35" s="2" t="s">
        <v>475</v>
      </c>
      <c r="U35" s="2">
        <v>1</v>
      </c>
      <c r="V35" s="2" t="s">
        <v>448</v>
      </c>
      <c r="W35" s="2" t="s">
        <v>476</v>
      </c>
      <c r="X35" s="2" t="s">
        <v>450</v>
      </c>
      <c r="Y35" s="2" t="s">
        <v>43</v>
      </c>
      <c r="Z35" s="2" t="s">
        <v>247</v>
      </c>
      <c r="AA35" s="2" t="s">
        <v>477</v>
      </c>
      <c r="AB35" s="2" t="s">
        <v>210</v>
      </c>
      <c r="AC35" s="6" t="str">
        <f t="shared" si="0"/>
        <v>MOD-008|WRK-003</v>
      </c>
      <c r="AD35" s="6">
        <f t="shared" si="1"/>
        <v>1</v>
      </c>
      <c r="AE35" s="2" t="s">
        <v>465</v>
      </c>
      <c r="AF35" s="2" t="s">
        <v>454</v>
      </c>
      <c r="AG35" s="2" t="s">
        <v>455</v>
      </c>
      <c r="AH35" s="2" t="s">
        <v>135</v>
      </c>
      <c r="AI35" s="2"/>
      <c r="AJ35" s="2"/>
      <c r="AK35" s="2"/>
    </row>
    <row r="36" spans="1:37" ht="29" x14ac:dyDescent="0.35">
      <c r="A36" s="2" t="s">
        <v>478</v>
      </c>
      <c r="B36" s="2" t="s">
        <v>334</v>
      </c>
      <c r="C36" s="2" t="s">
        <v>249</v>
      </c>
      <c r="D36" s="2" t="s">
        <v>479</v>
      </c>
      <c r="E36" s="2" t="s">
        <v>480</v>
      </c>
      <c r="F36" s="2" t="s">
        <v>474</v>
      </c>
      <c r="G36" s="2">
        <v>1</v>
      </c>
      <c r="H36" s="2">
        <v>24</v>
      </c>
      <c r="I36" s="2" t="s">
        <v>258</v>
      </c>
      <c r="J36" s="2" t="s">
        <v>258</v>
      </c>
      <c r="K36" s="2" t="s">
        <v>457</v>
      </c>
      <c r="L36" s="2" t="s">
        <v>442</v>
      </c>
      <c r="M36" s="2" t="s">
        <v>458</v>
      </c>
      <c r="N36" s="2">
        <v>48</v>
      </c>
      <c r="O36" s="2">
        <v>1</v>
      </c>
      <c r="P36" s="2" t="s">
        <v>258</v>
      </c>
      <c r="Q36" s="2" t="s">
        <v>459</v>
      </c>
      <c r="R36" s="2" t="s">
        <v>460</v>
      </c>
      <c r="S36" s="2" t="s">
        <v>461</v>
      </c>
      <c r="T36" s="2" t="s">
        <v>475</v>
      </c>
      <c r="U36" s="2">
        <v>1</v>
      </c>
      <c r="V36" s="2" t="s">
        <v>448</v>
      </c>
      <c r="W36" s="2" t="s">
        <v>481</v>
      </c>
      <c r="X36" s="2" t="s">
        <v>450</v>
      </c>
      <c r="Y36" s="2" t="s">
        <v>43</v>
      </c>
      <c r="Z36" s="2" t="s">
        <v>253</v>
      </c>
      <c r="AA36" s="2" t="s">
        <v>482</v>
      </c>
      <c r="AB36" s="2" t="s">
        <v>210</v>
      </c>
      <c r="AC36" s="6" t="str">
        <f t="shared" si="0"/>
        <v>MOD-009|WRK-005</v>
      </c>
      <c r="AD36" s="6">
        <f t="shared" si="1"/>
        <v>1</v>
      </c>
      <c r="AE36" s="2" t="s">
        <v>465</v>
      </c>
      <c r="AF36" s="2" t="s">
        <v>454</v>
      </c>
      <c r="AG36" s="2" t="s">
        <v>455</v>
      </c>
      <c r="AH36" s="2" t="s">
        <v>135</v>
      </c>
      <c r="AI36" s="2"/>
      <c r="AJ36" s="2"/>
      <c r="AK36" s="2"/>
    </row>
    <row r="37" spans="1:37" ht="29" x14ac:dyDescent="0.35">
      <c r="A37" s="2" t="s">
        <v>483</v>
      </c>
      <c r="B37" s="2" t="s">
        <v>308</v>
      </c>
      <c r="C37" s="2" t="s">
        <v>234</v>
      </c>
      <c r="D37" s="2" t="s">
        <v>235</v>
      </c>
      <c r="E37" s="2" t="s">
        <v>439</v>
      </c>
      <c r="F37" s="2" t="s">
        <v>474</v>
      </c>
      <c r="G37" s="2">
        <v>1</v>
      </c>
      <c r="H37" s="2">
        <v>32</v>
      </c>
      <c r="I37" s="2" t="s">
        <v>258</v>
      </c>
      <c r="J37" s="2" t="s">
        <v>258</v>
      </c>
      <c r="K37" s="2" t="s">
        <v>484</v>
      </c>
      <c r="L37" s="2" t="s">
        <v>442</v>
      </c>
      <c r="M37" s="2" t="s">
        <v>485</v>
      </c>
      <c r="N37" s="2">
        <v>80</v>
      </c>
      <c r="O37" s="2">
        <v>1</v>
      </c>
      <c r="P37" s="2" t="s">
        <v>258</v>
      </c>
      <c r="Q37" s="2" t="s">
        <v>486</v>
      </c>
      <c r="R37" s="2" t="s">
        <v>460</v>
      </c>
      <c r="S37" s="2" t="s">
        <v>461</v>
      </c>
      <c r="T37" s="2" t="s">
        <v>467</v>
      </c>
      <c r="U37" s="2">
        <v>1</v>
      </c>
      <c r="V37" s="2" t="s">
        <v>448</v>
      </c>
      <c r="W37" s="2" t="s">
        <v>487</v>
      </c>
      <c r="X37" s="2" t="s">
        <v>450</v>
      </c>
      <c r="Y37" s="2" t="s">
        <v>43</v>
      </c>
      <c r="Z37" s="2" t="s">
        <v>228</v>
      </c>
      <c r="AA37" s="2" t="s">
        <v>477</v>
      </c>
      <c r="AB37" s="2" t="s">
        <v>210</v>
      </c>
      <c r="AC37" s="6" t="str">
        <f t="shared" si="0"/>
        <v>MOD-006|WRK-003</v>
      </c>
      <c r="AD37" s="6">
        <f t="shared" si="1"/>
        <v>1</v>
      </c>
      <c r="AE37" s="2" t="s">
        <v>450</v>
      </c>
      <c r="AF37" s="2" t="s">
        <v>450</v>
      </c>
      <c r="AG37" s="2" t="s">
        <v>455</v>
      </c>
      <c r="AH37" s="2" t="s">
        <v>135</v>
      </c>
      <c r="AI37" s="2"/>
      <c r="AJ37" s="2"/>
      <c r="AK37" s="2"/>
    </row>
    <row r="38" spans="1:37" ht="29" x14ac:dyDescent="0.35">
      <c r="A38" s="2" t="s">
        <v>488</v>
      </c>
      <c r="B38" s="2" t="s">
        <v>320</v>
      </c>
      <c r="C38" s="2" t="s">
        <v>214</v>
      </c>
      <c r="D38" s="2" t="s">
        <v>215</v>
      </c>
      <c r="E38" s="2" t="s">
        <v>439</v>
      </c>
      <c r="F38" s="2" t="s">
        <v>489</v>
      </c>
      <c r="G38" s="2">
        <v>1</v>
      </c>
      <c r="H38" s="2">
        <v>70</v>
      </c>
      <c r="I38" s="2" t="s">
        <v>258</v>
      </c>
      <c r="J38" s="2" t="s">
        <v>258</v>
      </c>
      <c r="K38" s="2" t="s">
        <v>484</v>
      </c>
      <c r="L38" s="2" t="s">
        <v>442</v>
      </c>
      <c r="M38" s="2" t="s">
        <v>485</v>
      </c>
      <c r="N38" s="2">
        <v>80</v>
      </c>
      <c r="O38" s="2">
        <v>1</v>
      </c>
      <c r="P38" s="2" t="s">
        <v>258</v>
      </c>
      <c r="Q38" s="2" t="s">
        <v>486</v>
      </c>
      <c r="R38" s="2" t="s">
        <v>460</v>
      </c>
      <c r="S38" s="2" t="s">
        <v>461</v>
      </c>
      <c r="T38" s="2" t="s">
        <v>490</v>
      </c>
      <c r="U38" s="2">
        <v>1</v>
      </c>
      <c r="V38" s="2" t="s">
        <v>448</v>
      </c>
      <c r="W38" s="2" t="s">
        <v>491</v>
      </c>
      <c r="X38" s="2" t="s">
        <v>450</v>
      </c>
      <c r="Y38" s="2" t="s">
        <v>43</v>
      </c>
      <c r="Z38" s="2" t="s">
        <v>451</v>
      </c>
      <c r="AA38" s="2" t="s">
        <v>492</v>
      </c>
      <c r="AB38" s="2" t="s">
        <v>210</v>
      </c>
      <c r="AC38" s="6" t="str">
        <f t="shared" si="0"/>
        <v>MOD-002|WRK-004</v>
      </c>
      <c r="AD38" s="6">
        <f t="shared" si="1"/>
        <v>1</v>
      </c>
      <c r="AE38" s="2" t="s">
        <v>450</v>
      </c>
      <c r="AF38" s="2" t="s">
        <v>450</v>
      </c>
      <c r="AG38" s="2" t="s">
        <v>455</v>
      </c>
      <c r="AH38" s="2" t="s">
        <v>135</v>
      </c>
      <c r="AI38" s="2"/>
      <c r="AJ38" s="2"/>
      <c r="AK38" s="2"/>
    </row>
    <row r="39" spans="1:37" ht="29" x14ac:dyDescent="0.35">
      <c r="A39" s="2" t="s">
        <v>493</v>
      </c>
      <c r="B39" s="2" t="s">
        <v>320</v>
      </c>
      <c r="C39" s="2" t="s">
        <v>217</v>
      </c>
      <c r="D39" s="2" t="s">
        <v>218</v>
      </c>
      <c r="E39" s="2" t="s">
        <v>439</v>
      </c>
      <c r="F39" s="2" t="s">
        <v>489</v>
      </c>
      <c r="G39" s="2">
        <v>1</v>
      </c>
      <c r="H39" s="2">
        <v>70</v>
      </c>
      <c r="I39" s="2" t="s">
        <v>258</v>
      </c>
      <c r="J39" s="2" t="s">
        <v>258</v>
      </c>
      <c r="K39" s="2" t="s">
        <v>494</v>
      </c>
      <c r="L39" s="2" t="s">
        <v>442</v>
      </c>
      <c r="M39" s="2" t="s">
        <v>495</v>
      </c>
      <c r="N39" s="2">
        <v>80</v>
      </c>
      <c r="O39" s="2">
        <v>1</v>
      </c>
      <c r="P39" s="2" t="s">
        <v>258</v>
      </c>
      <c r="Q39" s="2" t="s">
        <v>496</v>
      </c>
      <c r="R39" s="2" t="s">
        <v>497</v>
      </c>
      <c r="S39" s="2" t="s">
        <v>461</v>
      </c>
      <c r="T39" s="2" t="s">
        <v>498</v>
      </c>
      <c r="U39" s="2">
        <v>2</v>
      </c>
      <c r="V39" s="2" t="s">
        <v>448</v>
      </c>
      <c r="W39" s="2" t="s">
        <v>499</v>
      </c>
      <c r="X39" s="2" t="s">
        <v>450</v>
      </c>
      <c r="Y39" s="2" t="s">
        <v>43</v>
      </c>
      <c r="Z39" s="2" t="s">
        <v>451</v>
      </c>
      <c r="AA39" s="2" t="s">
        <v>500</v>
      </c>
      <c r="AB39" s="2" t="s">
        <v>210</v>
      </c>
      <c r="AC39" s="6" t="str">
        <f t="shared" si="0"/>
        <v>MOD-003|WRK-004</v>
      </c>
      <c r="AD39" s="6">
        <f t="shared" si="1"/>
        <v>1</v>
      </c>
      <c r="AE39" s="2" t="s">
        <v>501</v>
      </c>
      <c r="AF39" s="2" t="s">
        <v>502</v>
      </c>
      <c r="AG39" s="2" t="s">
        <v>41</v>
      </c>
      <c r="AH39" s="2" t="s">
        <v>503</v>
      </c>
      <c r="AI39" s="2"/>
      <c r="AJ39" s="2"/>
      <c r="AK39" s="2"/>
    </row>
    <row r="40" spans="1:37" ht="29" x14ac:dyDescent="0.35">
      <c r="A40" s="2" t="s">
        <v>504</v>
      </c>
      <c r="B40" s="2" t="s">
        <v>334</v>
      </c>
      <c r="C40" s="2" t="s">
        <v>217</v>
      </c>
      <c r="D40" s="2" t="s">
        <v>218</v>
      </c>
      <c r="E40" s="2" t="s">
        <v>480</v>
      </c>
      <c r="F40" s="2" t="s">
        <v>489</v>
      </c>
      <c r="G40" s="2">
        <v>1</v>
      </c>
      <c r="H40" s="2">
        <v>70</v>
      </c>
      <c r="I40" s="2" t="s">
        <v>258</v>
      </c>
      <c r="J40" s="2" t="s">
        <v>258</v>
      </c>
      <c r="K40" s="2" t="s">
        <v>505</v>
      </c>
      <c r="L40" s="2" t="s">
        <v>442</v>
      </c>
      <c r="M40" s="2" t="s">
        <v>506</v>
      </c>
      <c r="N40" s="2">
        <v>141</v>
      </c>
      <c r="O40" s="2">
        <v>1</v>
      </c>
      <c r="P40" s="2" t="s">
        <v>258</v>
      </c>
      <c r="Q40" s="2" t="s">
        <v>507</v>
      </c>
      <c r="R40" s="2" t="s">
        <v>508</v>
      </c>
      <c r="S40" s="2" t="s">
        <v>461</v>
      </c>
      <c r="T40" s="2" t="s">
        <v>509</v>
      </c>
      <c r="U40" s="2">
        <v>2</v>
      </c>
      <c r="V40" s="2" t="s">
        <v>448</v>
      </c>
      <c r="W40" s="2" t="s">
        <v>510</v>
      </c>
      <c r="X40" s="2" t="s">
        <v>450</v>
      </c>
      <c r="Y40" s="2" t="s">
        <v>43</v>
      </c>
      <c r="Z40" s="2" t="s">
        <v>451</v>
      </c>
      <c r="AA40" s="2" t="s">
        <v>511</v>
      </c>
      <c r="AB40" s="2" t="s">
        <v>210</v>
      </c>
      <c r="AC40" s="6" t="str">
        <f t="shared" si="0"/>
        <v>MOD-003|WRK-005</v>
      </c>
      <c r="AD40" s="6">
        <f t="shared" si="1"/>
        <v>1</v>
      </c>
      <c r="AE40" s="2" t="s">
        <v>512</v>
      </c>
      <c r="AF40" s="2" t="s">
        <v>454</v>
      </c>
      <c r="AG40" s="2" t="s">
        <v>455</v>
      </c>
      <c r="AH40" s="2" t="s">
        <v>135</v>
      </c>
      <c r="AI40" s="2"/>
      <c r="AJ40" s="2"/>
      <c r="AK40" s="2"/>
    </row>
    <row r="41" spans="1:37" ht="29" x14ac:dyDescent="0.35">
      <c r="A41" s="2" t="s">
        <v>513</v>
      </c>
      <c r="B41" s="2" t="s">
        <v>320</v>
      </c>
      <c r="C41" s="2" t="s">
        <v>217</v>
      </c>
      <c r="D41" s="2" t="s">
        <v>218</v>
      </c>
      <c r="E41" s="2" t="s">
        <v>439</v>
      </c>
      <c r="F41" s="2" t="s">
        <v>440</v>
      </c>
      <c r="G41" s="2">
        <v>2</v>
      </c>
      <c r="H41" s="2">
        <v>140</v>
      </c>
      <c r="I41" s="2" t="s">
        <v>258</v>
      </c>
      <c r="J41" s="2" t="s">
        <v>258</v>
      </c>
      <c r="K41" s="2" t="s">
        <v>505</v>
      </c>
      <c r="L41" s="2" t="s">
        <v>442</v>
      </c>
      <c r="M41" s="2" t="s">
        <v>506</v>
      </c>
      <c r="N41" s="2">
        <v>141</v>
      </c>
      <c r="O41" s="2">
        <v>1</v>
      </c>
      <c r="P41" s="2" t="s">
        <v>258</v>
      </c>
      <c r="Q41" s="2" t="s">
        <v>507</v>
      </c>
      <c r="R41" s="2" t="s">
        <v>508</v>
      </c>
      <c r="S41" s="2" t="s">
        <v>461</v>
      </c>
      <c r="T41" s="2" t="s">
        <v>514</v>
      </c>
      <c r="U41" s="2">
        <v>2</v>
      </c>
      <c r="V41" s="2" t="s">
        <v>448</v>
      </c>
      <c r="W41" s="2" t="s">
        <v>515</v>
      </c>
      <c r="X41" s="2" t="s">
        <v>450</v>
      </c>
      <c r="Y41" s="2" t="s">
        <v>43</v>
      </c>
      <c r="Z41" s="2" t="s">
        <v>451</v>
      </c>
      <c r="AA41" s="2" t="s">
        <v>516</v>
      </c>
      <c r="AB41" s="2" t="s">
        <v>210</v>
      </c>
      <c r="AC41" s="6" t="str">
        <f t="shared" si="0"/>
        <v>MOD-003|WRK-004</v>
      </c>
      <c r="AD41" s="6">
        <f t="shared" si="1"/>
        <v>1</v>
      </c>
      <c r="AE41" s="2" t="s">
        <v>512</v>
      </c>
      <c r="AF41" s="2" t="s">
        <v>454</v>
      </c>
      <c r="AG41" s="2" t="s">
        <v>455</v>
      </c>
      <c r="AH41" s="2" t="s">
        <v>135</v>
      </c>
      <c r="AI41" s="2"/>
      <c r="AJ41" s="2"/>
      <c r="AK41" s="2"/>
    </row>
    <row r="42" spans="1:37" ht="29" x14ac:dyDescent="0.35">
      <c r="A42" s="2" t="s">
        <v>517</v>
      </c>
      <c r="B42" s="2" t="s">
        <v>320</v>
      </c>
      <c r="C42" s="2" t="s">
        <v>217</v>
      </c>
      <c r="D42" s="2" t="s">
        <v>218</v>
      </c>
      <c r="E42" s="2" t="s">
        <v>439</v>
      </c>
      <c r="F42" s="2" t="s">
        <v>518</v>
      </c>
      <c r="G42" s="2">
        <v>0.5</v>
      </c>
      <c r="H42" s="2">
        <v>35</v>
      </c>
      <c r="I42" s="2" t="s">
        <v>258</v>
      </c>
      <c r="J42" s="2" t="s">
        <v>258</v>
      </c>
      <c r="K42" s="2" t="s">
        <v>519</v>
      </c>
      <c r="L42" s="2" t="s">
        <v>520</v>
      </c>
      <c r="M42" s="2" t="s">
        <v>521</v>
      </c>
      <c r="N42" s="2">
        <v>192</v>
      </c>
      <c r="O42" s="2">
        <v>1</v>
      </c>
      <c r="P42" s="2" t="s">
        <v>258</v>
      </c>
      <c r="Q42" s="2" t="s">
        <v>522</v>
      </c>
      <c r="R42" s="2" t="s">
        <v>508</v>
      </c>
      <c r="S42" s="2" t="s">
        <v>461</v>
      </c>
      <c r="T42" s="2" t="s">
        <v>523</v>
      </c>
      <c r="U42" s="2">
        <v>1</v>
      </c>
      <c r="V42" s="2" t="s">
        <v>448</v>
      </c>
      <c r="W42" s="2" t="s">
        <v>524</v>
      </c>
      <c r="X42" s="2" t="s">
        <v>450</v>
      </c>
      <c r="Y42" s="2" t="s">
        <v>43</v>
      </c>
      <c r="Z42" s="2" t="s">
        <v>525</v>
      </c>
      <c r="AA42" s="2" t="s">
        <v>526</v>
      </c>
      <c r="AB42" s="2" t="s">
        <v>210</v>
      </c>
      <c r="AC42" s="6" t="str">
        <f t="shared" si="0"/>
        <v>MOD-003|WRK-004</v>
      </c>
      <c r="AD42" s="6">
        <f t="shared" si="1"/>
        <v>1</v>
      </c>
      <c r="AE42" s="2" t="s">
        <v>450</v>
      </c>
      <c r="AF42" s="2" t="s">
        <v>450</v>
      </c>
      <c r="AG42" s="2" t="s">
        <v>455</v>
      </c>
      <c r="AH42" s="2" t="s">
        <v>135</v>
      </c>
      <c r="AI42" s="2"/>
      <c r="AJ42" s="2"/>
      <c r="AK42" s="2"/>
    </row>
    <row r="43" spans="1:37" ht="29" x14ac:dyDescent="0.35">
      <c r="A43" s="2" t="s">
        <v>527</v>
      </c>
      <c r="B43" s="2" t="s">
        <v>334</v>
      </c>
      <c r="C43" s="2" t="s">
        <v>214</v>
      </c>
      <c r="D43" s="2" t="s">
        <v>215</v>
      </c>
      <c r="E43" s="2" t="s">
        <v>480</v>
      </c>
      <c r="F43" s="2" t="s">
        <v>440</v>
      </c>
      <c r="G43" s="2">
        <v>2</v>
      </c>
      <c r="H43" s="2">
        <v>140</v>
      </c>
      <c r="I43" s="2" t="s">
        <v>258</v>
      </c>
      <c r="J43" s="2" t="s">
        <v>258</v>
      </c>
      <c r="K43" s="2" t="s">
        <v>519</v>
      </c>
      <c r="L43" s="2" t="s">
        <v>520</v>
      </c>
      <c r="M43" s="2" t="s">
        <v>521</v>
      </c>
      <c r="N43" s="2">
        <v>192</v>
      </c>
      <c r="O43" s="2">
        <v>1</v>
      </c>
      <c r="P43" s="2" t="s">
        <v>258</v>
      </c>
      <c r="Q43" s="2" t="s">
        <v>522</v>
      </c>
      <c r="R43" s="2" t="s">
        <v>508</v>
      </c>
      <c r="S43" s="2" t="s">
        <v>461</v>
      </c>
      <c r="T43" s="2" t="s">
        <v>528</v>
      </c>
      <c r="U43" s="2">
        <v>1</v>
      </c>
      <c r="V43" s="2" t="s">
        <v>448</v>
      </c>
      <c r="W43" s="2" t="s">
        <v>529</v>
      </c>
      <c r="X43" s="2" t="s">
        <v>450</v>
      </c>
      <c r="Y43" s="2" t="s">
        <v>43</v>
      </c>
      <c r="Z43" s="2" t="s">
        <v>530</v>
      </c>
      <c r="AA43" s="2" t="s">
        <v>531</v>
      </c>
      <c r="AB43" s="2" t="s">
        <v>210</v>
      </c>
      <c r="AC43" s="6" t="str">
        <f t="shared" si="0"/>
        <v>MOD-002|WRK-005</v>
      </c>
      <c r="AD43" s="6">
        <f t="shared" si="1"/>
        <v>1</v>
      </c>
      <c r="AE43" s="2" t="s">
        <v>450</v>
      </c>
      <c r="AF43" s="2" t="s">
        <v>450</v>
      </c>
      <c r="AG43" s="2" t="s">
        <v>455</v>
      </c>
      <c r="AH43" s="2" t="s">
        <v>135</v>
      </c>
      <c r="AI43" s="2"/>
      <c r="AJ43" s="2"/>
      <c r="AK43" s="2"/>
    </row>
    <row r="44" spans="1:37" ht="29" x14ac:dyDescent="0.35">
      <c r="A44" s="2" t="s">
        <v>532</v>
      </c>
      <c r="B44" s="2" t="s">
        <v>347</v>
      </c>
      <c r="C44" s="2" t="s">
        <v>214</v>
      </c>
      <c r="D44" s="2" t="s">
        <v>215</v>
      </c>
      <c r="E44" s="2" t="s">
        <v>533</v>
      </c>
      <c r="F44" s="2" t="s">
        <v>489</v>
      </c>
      <c r="G44" s="2">
        <v>1</v>
      </c>
      <c r="H44" s="2">
        <v>70</v>
      </c>
      <c r="I44" s="2" t="s">
        <v>258</v>
      </c>
      <c r="J44" s="2" t="s">
        <v>258</v>
      </c>
      <c r="K44" s="2" t="s">
        <v>534</v>
      </c>
      <c r="L44" s="2" t="s">
        <v>442</v>
      </c>
      <c r="M44" s="2" t="s">
        <v>535</v>
      </c>
      <c r="N44" s="2">
        <v>141</v>
      </c>
      <c r="O44" s="2">
        <v>1</v>
      </c>
      <c r="P44" s="2" t="s">
        <v>258</v>
      </c>
      <c r="Q44" s="2" t="s">
        <v>536</v>
      </c>
      <c r="R44" s="2" t="s">
        <v>445</v>
      </c>
      <c r="S44" s="2" t="s">
        <v>537</v>
      </c>
      <c r="T44" s="2" t="s">
        <v>538</v>
      </c>
      <c r="U44" s="2">
        <v>1</v>
      </c>
      <c r="V44" s="2" t="s">
        <v>448</v>
      </c>
      <c r="W44" s="2" t="s">
        <v>539</v>
      </c>
      <c r="X44" s="2" t="s">
        <v>450</v>
      </c>
      <c r="Y44" s="2" t="s">
        <v>43</v>
      </c>
      <c r="Z44" s="2" t="s">
        <v>451</v>
      </c>
      <c r="AA44" s="2" t="s">
        <v>540</v>
      </c>
      <c r="AB44" s="2" t="s">
        <v>210</v>
      </c>
      <c r="AC44" s="6" t="str">
        <f t="shared" si="0"/>
        <v>MOD-002|WRK-006</v>
      </c>
      <c r="AD44" s="6">
        <f t="shared" si="1"/>
        <v>3</v>
      </c>
      <c r="AE44" s="2" t="s">
        <v>512</v>
      </c>
      <c r="AF44" s="2" t="s">
        <v>454</v>
      </c>
      <c r="AG44" s="2" t="s">
        <v>455</v>
      </c>
      <c r="AH44" s="2" t="s">
        <v>135</v>
      </c>
      <c r="AI44" s="2"/>
      <c r="AJ44" s="2"/>
      <c r="AK44" s="2"/>
    </row>
    <row r="45" spans="1:37" ht="29" x14ac:dyDescent="0.35">
      <c r="A45" s="2" t="s">
        <v>541</v>
      </c>
      <c r="B45" s="2" t="s">
        <v>368</v>
      </c>
      <c r="C45" s="2" t="s">
        <v>198</v>
      </c>
      <c r="D45" s="2" t="s">
        <v>200</v>
      </c>
      <c r="E45" s="2" t="s">
        <v>542</v>
      </c>
      <c r="F45" s="2" t="s">
        <v>440</v>
      </c>
      <c r="G45" s="2">
        <v>2</v>
      </c>
      <c r="H45" s="2">
        <v>16</v>
      </c>
      <c r="I45" s="2" t="s">
        <v>258</v>
      </c>
      <c r="J45" s="2" t="s">
        <v>258</v>
      </c>
      <c r="K45" s="2" t="s">
        <v>457</v>
      </c>
      <c r="L45" s="2" t="s">
        <v>442</v>
      </c>
      <c r="M45" s="2" t="s">
        <v>458</v>
      </c>
      <c r="N45" s="2">
        <v>48</v>
      </c>
      <c r="O45" s="2">
        <v>1</v>
      </c>
      <c r="P45" s="2" t="s">
        <v>258</v>
      </c>
      <c r="Q45" s="2" t="s">
        <v>459</v>
      </c>
      <c r="R45" s="2" t="s">
        <v>460</v>
      </c>
      <c r="S45" s="2" t="s">
        <v>461</v>
      </c>
      <c r="T45" s="2" t="s">
        <v>543</v>
      </c>
      <c r="U45" s="2" t="s">
        <v>258</v>
      </c>
      <c r="V45" s="2" t="s">
        <v>448</v>
      </c>
      <c r="W45" s="2" t="s">
        <v>544</v>
      </c>
      <c r="X45" s="2" t="s">
        <v>450</v>
      </c>
      <c r="Y45" s="2" t="s">
        <v>43</v>
      </c>
      <c r="Z45" s="2" t="s">
        <v>207</v>
      </c>
      <c r="AA45" s="2" t="s">
        <v>545</v>
      </c>
      <c r="AB45" s="2" t="s">
        <v>210</v>
      </c>
      <c r="AC45" s="6" t="str">
        <f t="shared" si="0"/>
        <v>MOD-001|WRK-008</v>
      </c>
      <c r="AD45" s="6">
        <f t="shared" si="1"/>
        <v>1</v>
      </c>
      <c r="AE45" s="2" t="s">
        <v>465</v>
      </c>
      <c r="AF45" s="2" t="s">
        <v>454</v>
      </c>
      <c r="AG45" s="2" t="s">
        <v>455</v>
      </c>
      <c r="AH45" s="2" t="s">
        <v>135</v>
      </c>
      <c r="AI45" s="2"/>
      <c r="AJ45" s="2"/>
      <c r="AK45" s="2"/>
    </row>
    <row r="46" spans="1:37" ht="29" x14ac:dyDescent="0.35">
      <c r="A46" s="2" t="s">
        <v>546</v>
      </c>
      <c r="B46" s="2" t="s">
        <v>368</v>
      </c>
      <c r="C46" s="2" t="s">
        <v>230</v>
      </c>
      <c r="D46" s="2" t="s">
        <v>231</v>
      </c>
      <c r="E46" s="2" t="s">
        <v>547</v>
      </c>
      <c r="F46" s="2" t="s">
        <v>518</v>
      </c>
      <c r="G46" s="2">
        <v>0.5</v>
      </c>
      <c r="H46" s="2">
        <v>7</v>
      </c>
      <c r="I46" s="2" t="s">
        <v>258</v>
      </c>
      <c r="J46" s="2" t="s">
        <v>258</v>
      </c>
      <c r="K46" s="2" t="s">
        <v>548</v>
      </c>
      <c r="L46" s="2" t="s">
        <v>442</v>
      </c>
      <c r="M46" s="2" t="s">
        <v>549</v>
      </c>
      <c r="N46" s="2">
        <v>96</v>
      </c>
      <c r="O46" s="2">
        <v>1</v>
      </c>
      <c r="P46" s="2" t="s">
        <v>258</v>
      </c>
      <c r="Q46" s="2" t="s">
        <v>550</v>
      </c>
      <c r="R46" s="2" t="s">
        <v>445</v>
      </c>
      <c r="S46" s="2" t="s">
        <v>446</v>
      </c>
      <c r="T46" s="2" t="s">
        <v>543</v>
      </c>
      <c r="U46" s="2" t="s">
        <v>258</v>
      </c>
      <c r="V46" s="2" t="s">
        <v>448</v>
      </c>
      <c r="W46" s="2" t="s">
        <v>551</v>
      </c>
      <c r="X46" s="2" t="s">
        <v>450</v>
      </c>
      <c r="Y46" s="2" t="s">
        <v>43</v>
      </c>
      <c r="Z46" s="2" t="s">
        <v>552</v>
      </c>
      <c r="AA46" s="2" t="s">
        <v>553</v>
      </c>
      <c r="AB46" s="2" t="s">
        <v>210</v>
      </c>
      <c r="AC46" s="6" t="str">
        <f t="shared" si="0"/>
        <v>MOD-005|WRK-008</v>
      </c>
      <c r="AD46" s="6">
        <f t="shared" si="1"/>
        <v>2</v>
      </c>
      <c r="AE46" s="2" t="s">
        <v>554</v>
      </c>
      <c r="AF46" s="2" t="s">
        <v>454</v>
      </c>
      <c r="AG46" s="2" t="s">
        <v>455</v>
      </c>
      <c r="AH46" s="2" t="s">
        <v>135</v>
      </c>
      <c r="AI46" s="2"/>
      <c r="AJ46" s="2"/>
      <c r="AK46" s="2"/>
    </row>
    <row r="47" spans="1:37" ht="29" x14ac:dyDescent="0.35">
      <c r="A47" s="2" t="s">
        <v>555</v>
      </c>
      <c r="B47" s="2" t="s">
        <v>379</v>
      </c>
      <c r="C47" s="2" t="s">
        <v>217</v>
      </c>
      <c r="D47" s="2" t="s">
        <v>218</v>
      </c>
      <c r="E47" s="2" t="s">
        <v>556</v>
      </c>
      <c r="F47" s="2" t="s">
        <v>440</v>
      </c>
      <c r="G47" s="2">
        <v>2</v>
      </c>
      <c r="H47" s="2">
        <v>140</v>
      </c>
      <c r="I47" s="2" t="s">
        <v>258</v>
      </c>
      <c r="J47" s="2" t="s">
        <v>258</v>
      </c>
      <c r="K47" s="2" t="s">
        <v>557</v>
      </c>
      <c r="L47" s="2" t="s">
        <v>442</v>
      </c>
      <c r="M47" s="2" t="s">
        <v>558</v>
      </c>
      <c r="N47" s="2">
        <v>180</v>
      </c>
      <c r="O47" s="2">
        <v>1</v>
      </c>
      <c r="P47" s="2" t="s">
        <v>258</v>
      </c>
      <c r="Q47" s="2" t="s">
        <v>559</v>
      </c>
      <c r="R47" s="2" t="s">
        <v>560</v>
      </c>
      <c r="S47" s="2" t="s">
        <v>461</v>
      </c>
      <c r="T47" s="2" t="s">
        <v>561</v>
      </c>
      <c r="U47" s="2" t="s">
        <v>562</v>
      </c>
      <c r="V47" s="2" t="s">
        <v>448</v>
      </c>
      <c r="W47" s="2" t="s">
        <v>563</v>
      </c>
      <c r="X47" s="2" t="s">
        <v>450</v>
      </c>
      <c r="Y47" s="2" t="s">
        <v>43</v>
      </c>
      <c r="Z47" s="2" t="s">
        <v>564</v>
      </c>
      <c r="AA47" s="2" t="s">
        <v>565</v>
      </c>
      <c r="AB47" s="2" t="s">
        <v>210</v>
      </c>
      <c r="AC47" s="6" t="str">
        <f t="shared" si="0"/>
        <v>MOD-003|WRK-009</v>
      </c>
      <c r="AD47" s="6">
        <f t="shared" si="1"/>
        <v>1</v>
      </c>
      <c r="AE47" s="2" t="s">
        <v>566</v>
      </c>
      <c r="AF47" s="2" t="s">
        <v>454</v>
      </c>
      <c r="AG47" s="2" t="s">
        <v>455</v>
      </c>
      <c r="AH47" s="2" t="s">
        <v>135</v>
      </c>
      <c r="AI47" s="2"/>
      <c r="AJ47" s="2"/>
      <c r="AK47" s="2"/>
    </row>
    <row r="48" spans="1:37" ht="29" x14ac:dyDescent="0.35">
      <c r="A48" s="2" t="s">
        <v>567</v>
      </c>
      <c r="B48" s="2" t="s">
        <v>379</v>
      </c>
      <c r="C48" s="2" t="s">
        <v>217</v>
      </c>
      <c r="D48" s="2" t="s">
        <v>218</v>
      </c>
      <c r="E48" s="2" t="s">
        <v>556</v>
      </c>
      <c r="F48" s="2" t="s">
        <v>440</v>
      </c>
      <c r="G48" s="2">
        <v>2</v>
      </c>
      <c r="H48" s="2">
        <v>140</v>
      </c>
      <c r="I48" s="2" t="s">
        <v>258</v>
      </c>
      <c r="J48" s="2" t="s">
        <v>258</v>
      </c>
      <c r="K48" s="2" t="s">
        <v>568</v>
      </c>
      <c r="L48" s="2" t="s">
        <v>520</v>
      </c>
      <c r="M48" s="2" t="s">
        <v>569</v>
      </c>
      <c r="N48" s="2">
        <v>288</v>
      </c>
      <c r="O48" s="2">
        <v>1</v>
      </c>
      <c r="P48" s="2" t="s">
        <v>258</v>
      </c>
      <c r="Q48" s="2" t="s">
        <v>570</v>
      </c>
      <c r="R48" s="2" t="s">
        <v>571</v>
      </c>
      <c r="S48" s="2" t="s">
        <v>461</v>
      </c>
      <c r="T48" s="2" t="s">
        <v>572</v>
      </c>
      <c r="U48" s="2" t="s">
        <v>562</v>
      </c>
      <c r="V48" s="2" t="s">
        <v>448</v>
      </c>
      <c r="W48" s="2" t="s">
        <v>573</v>
      </c>
      <c r="X48" s="2" t="s">
        <v>450</v>
      </c>
      <c r="Y48" s="2" t="s">
        <v>43</v>
      </c>
      <c r="Z48" s="2" t="s">
        <v>574</v>
      </c>
      <c r="AA48" s="2" t="s">
        <v>575</v>
      </c>
      <c r="AB48" s="2" t="s">
        <v>210</v>
      </c>
      <c r="AC48" s="6" t="str">
        <f t="shared" si="0"/>
        <v>MOD-003|WRK-009</v>
      </c>
      <c r="AD48" s="6">
        <f t="shared" si="1"/>
        <v>1</v>
      </c>
      <c r="AE48" s="2" t="s">
        <v>450</v>
      </c>
      <c r="AF48" s="2" t="s">
        <v>450</v>
      </c>
      <c r="AG48" s="2" t="s">
        <v>455</v>
      </c>
      <c r="AH48" s="2" t="s">
        <v>135</v>
      </c>
      <c r="AI48" s="2"/>
      <c r="AJ48" s="2"/>
      <c r="AK48" s="2"/>
    </row>
    <row r="49" spans="1:37" ht="29" x14ac:dyDescent="0.35">
      <c r="A49" s="2" t="s">
        <v>576</v>
      </c>
      <c r="B49" s="2" t="s">
        <v>283</v>
      </c>
      <c r="C49" s="2" t="s">
        <v>255</v>
      </c>
      <c r="D49" s="2" t="s">
        <v>257</v>
      </c>
      <c r="E49" s="2" t="s">
        <v>577</v>
      </c>
      <c r="F49" s="2" t="s">
        <v>260</v>
      </c>
      <c r="G49" s="2" t="s">
        <v>258</v>
      </c>
      <c r="H49" s="2" t="s">
        <v>258</v>
      </c>
      <c r="I49" s="2" t="s">
        <v>258</v>
      </c>
      <c r="J49" s="2" t="s">
        <v>258</v>
      </c>
      <c r="K49" s="2" t="s">
        <v>441</v>
      </c>
      <c r="L49" s="2" t="s">
        <v>442</v>
      </c>
      <c r="M49" s="2" t="s">
        <v>443</v>
      </c>
      <c r="N49" s="2">
        <v>24</v>
      </c>
      <c r="O49" s="2" t="s">
        <v>258</v>
      </c>
      <c r="P49" s="2" t="s">
        <v>258</v>
      </c>
      <c r="Q49" s="2" t="s">
        <v>444</v>
      </c>
      <c r="R49" s="2" t="s">
        <v>445</v>
      </c>
      <c r="S49" s="2" t="s">
        <v>446</v>
      </c>
      <c r="T49" s="2" t="s">
        <v>578</v>
      </c>
      <c r="U49" s="2">
        <v>1</v>
      </c>
      <c r="V49" s="2" t="s">
        <v>448</v>
      </c>
      <c r="W49" s="2" t="s">
        <v>579</v>
      </c>
      <c r="X49" s="2" t="s">
        <v>450</v>
      </c>
      <c r="Y49" s="2" t="s">
        <v>43</v>
      </c>
      <c r="Z49" s="2" t="s">
        <v>267</v>
      </c>
      <c r="AA49" s="2" t="s">
        <v>580</v>
      </c>
      <c r="AB49" s="2" t="s">
        <v>210</v>
      </c>
      <c r="AC49" s="6" t="str">
        <f t="shared" si="0"/>
        <v>MOD-010|WRK-001</v>
      </c>
      <c r="AD49" s="6">
        <f t="shared" si="1"/>
        <v>2</v>
      </c>
      <c r="AE49" s="2" t="s">
        <v>453</v>
      </c>
      <c r="AF49" s="2" t="s">
        <v>454</v>
      </c>
      <c r="AG49" s="2" t="s">
        <v>455</v>
      </c>
      <c r="AH49" s="2" t="s">
        <v>135</v>
      </c>
      <c r="AI49" s="2"/>
      <c r="AJ49" s="2"/>
      <c r="AK49" s="2"/>
    </row>
    <row r="50" spans="1:37" ht="29" x14ac:dyDescent="0.35">
      <c r="A50" s="2" t="s">
        <v>581</v>
      </c>
      <c r="B50" s="2" t="s">
        <v>283</v>
      </c>
      <c r="C50" s="2" t="s">
        <v>255</v>
      </c>
      <c r="D50" s="2" t="s">
        <v>257</v>
      </c>
      <c r="E50" s="2" t="s">
        <v>577</v>
      </c>
      <c r="F50" s="2" t="s">
        <v>260</v>
      </c>
      <c r="G50" s="2" t="s">
        <v>258</v>
      </c>
      <c r="H50" s="2" t="s">
        <v>258</v>
      </c>
      <c r="I50" s="2" t="s">
        <v>258</v>
      </c>
      <c r="J50" s="2" t="s">
        <v>258</v>
      </c>
      <c r="K50" s="2" t="s">
        <v>457</v>
      </c>
      <c r="L50" s="2" t="s">
        <v>442</v>
      </c>
      <c r="M50" s="2" t="s">
        <v>458</v>
      </c>
      <c r="N50" s="2">
        <v>48</v>
      </c>
      <c r="O50" s="2" t="s">
        <v>258</v>
      </c>
      <c r="P50" s="2" t="s">
        <v>258</v>
      </c>
      <c r="Q50" s="2" t="s">
        <v>459</v>
      </c>
      <c r="R50" s="2" t="s">
        <v>460</v>
      </c>
      <c r="S50" s="2" t="s">
        <v>461</v>
      </c>
      <c r="T50" s="2" t="s">
        <v>578</v>
      </c>
      <c r="U50" s="2">
        <v>1</v>
      </c>
      <c r="V50" s="2" t="s">
        <v>448</v>
      </c>
      <c r="W50" s="2" t="s">
        <v>582</v>
      </c>
      <c r="X50" s="2" t="s">
        <v>450</v>
      </c>
      <c r="Y50" s="2" t="s">
        <v>43</v>
      </c>
      <c r="Z50" s="2" t="s">
        <v>267</v>
      </c>
      <c r="AA50" s="2" t="s">
        <v>580</v>
      </c>
      <c r="AB50" s="2" t="s">
        <v>210</v>
      </c>
      <c r="AC50" s="6" t="str">
        <f t="shared" si="0"/>
        <v>MOD-010|WRK-001</v>
      </c>
      <c r="AD50" s="6">
        <f t="shared" si="1"/>
        <v>1</v>
      </c>
      <c r="AE50" s="2" t="s">
        <v>465</v>
      </c>
      <c r="AF50" s="2" t="s">
        <v>454</v>
      </c>
      <c r="AG50" s="2" t="s">
        <v>455</v>
      </c>
      <c r="AH50" s="2" t="s">
        <v>135</v>
      </c>
      <c r="AI50" s="2"/>
      <c r="AJ50" s="2"/>
      <c r="AK50" s="2"/>
    </row>
    <row r="51" spans="1:37" ht="29" x14ac:dyDescent="0.35">
      <c r="A51" s="2" t="s">
        <v>583</v>
      </c>
      <c r="B51" s="2" t="s">
        <v>347</v>
      </c>
      <c r="C51" s="2" t="s">
        <v>217</v>
      </c>
      <c r="D51" s="2" t="s">
        <v>218</v>
      </c>
      <c r="E51" s="2" t="s">
        <v>533</v>
      </c>
      <c r="F51" s="2" t="s">
        <v>489</v>
      </c>
      <c r="G51" s="2">
        <v>1</v>
      </c>
      <c r="H51" s="2">
        <v>70</v>
      </c>
      <c r="I51" s="2" t="s">
        <v>258</v>
      </c>
      <c r="J51" s="2" t="s">
        <v>258</v>
      </c>
      <c r="K51" s="2" t="s">
        <v>494</v>
      </c>
      <c r="L51" s="2" t="s">
        <v>442</v>
      </c>
      <c r="M51" s="2" t="s">
        <v>495</v>
      </c>
      <c r="N51" s="2">
        <v>80</v>
      </c>
      <c r="O51" s="2">
        <v>1</v>
      </c>
      <c r="P51" s="2" t="s">
        <v>258</v>
      </c>
      <c r="Q51" s="2" t="s">
        <v>496</v>
      </c>
      <c r="R51" s="2" t="s">
        <v>497</v>
      </c>
      <c r="S51" s="2" t="s">
        <v>461</v>
      </c>
      <c r="T51" s="2" t="s">
        <v>498</v>
      </c>
      <c r="U51" s="2">
        <v>2</v>
      </c>
      <c r="V51" s="2" t="s">
        <v>584</v>
      </c>
      <c r="W51" s="2" t="s">
        <v>585</v>
      </c>
      <c r="X51" s="2" t="s">
        <v>450</v>
      </c>
      <c r="Y51" s="2" t="s">
        <v>43</v>
      </c>
      <c r="Z51" s="2" t="s">
        <v>451</v>
      </c>
      <c r="AA51" s="2" t="s">
        <v>586</v>
      </c>
      <c r="AB51" s="2" t="s">
        <v>210</v>
      </c>
      <c r="AC51" s="6" t="str">
        <f t="shared" si="0"/>
        <v>MOD-003|WRK-006</v>
      </c>
      <c r="AD51" s="2">
        <v>2</v>
      </c>
      <c r="AE51" s="2" t="s">
        <v>501</v>
      </c>
      <c r="AF51" s="2" t="s">
        <v>502</v>
      </c>
      <c r="AG51" s="2" t="s">
        <v>41</v>
      </c>
      <c r="AH51" s="2" t="s">
        <v>503</v>
      </c>
      <c r="AI51" s="2"/>
      <c r="AJ51" s="2"/>
      <c r="AK51" s="2"/>
    </row>
    <row r="52" spans="1:37" ht="29" x14ac:dyDescent="0.35">
      <c r="A52" s="2" t="s">
        <v>587</v>
      </c>
      <c r="B52" s="2" t="s">
        <v>357</v>
      </c>
      <c r="C52" s="2" t="s">
        <v>242</v>
      </c>
      <c r="D52" s="2" t="s">
        <v>473</v>
      </c>
      <c r="E52" s="2" t="s">
        <v>588</v>
      </c>
      <c r="F52" s="2" t="s">
        <v>474</v>
      </c>
      <c r="G52" s="2">
        <v>1</v>
      </c>
      <c r="H52" s="2">
        <v>24</v>
      </c>
      <c r="I52" s="2" t="s">
        <v>258</v>
      </c>
      <c r="J52" s="2" t="s">
        <v>258</v>
      </c>
      <c r="K52" s="2" t="s">
        <v>457</v>
      </c>
      <c r="L52" s="2" t="s">
        <v>442</v>
      </c>
      <c r="M52" s="2" t="s">
        <v>458</v>
      </c>
      <c r="N52" s="2">
        <v>48</v>
      </c>
      <c r="O52" s="2">
        <v>1</v>
      </c>
      <c r="P52" s="2" t="s">
        <v>258</v>
      </c>
      <c r="Q52" s="2" t="s">
        <v>459</v>
      </c>
      <c r="R52" s="2" t="s">
        <v>460</v>
      </c>
      <c r="S52" s="2" t="s">
        <v>461</v>
      </c>
      <c r="T52" s="2" t="s">
        <v>475</v>
      </c>
      <c r="U52" s="2">
        <v>1</v>
      </c>
      <c r="V52" s="2" t="s">
        <v>589</v>
      </c>
      <c r="W52" s="2" t="s">
        <v>590</v>
      </c>
      <c r="X52" s="2" t="s">
        <v>450</v>
      </c>
      <c r="Y52" s="2" t="s">
        <v>43</v>
      </c>
      <c r="Z52" s="2" t="s">
        <v>247</v>
      </c>
      <c r="AA52" s="2" t="s">
        <v>591</v>
      </c>
      <c r="AB52" s="2" t="s">
        <v>210</v>
      </c>
      <c r="AC52" s="6" t="str">
        <f t="shared" si="0"/>
        <v>MOD-008|WRK-007</v>
      </c>
      <c r="AD52" s="2">
        <v>2</v>
      </c>
      <c r="AE52" s="2" t="s">
        <v>465</v>
      </c>
      <c r="AF52" s="2" t="s">
        <v>454</v>
      </c>
      <c r="AG52" s="2" t="s">
        <v>455</v>
      </c>
      <c r="AH52" s="2" t="s">
        <v>135</v>
      </c>
      <c r="AI52" s="2"/>
      <c r="AJ52" s="2"/>
      <c r="AK52" s="2"/>
    </row>
    <row r="53" spans="1:37" ht="29" x14ac:dyDescent="0.35">
      <c r="A53" s="2" t="s">
        <v>592</v>
      </c>
      <c r="B53" s="2" t="s">
        <v>399</v>
      </c>
      <c r="C53" s="2" t="s">
        <v>249</v>
      </c>
      <c r="D53" s="2" t="s">
        <v>479</v>
      </c>
      <c r="E53" s="2" t="s">
        <v>593</v>
      </c>
      <c r="F53" s="2" t="s">
        <v>474</v>
      </c>
      <c r="G53" s="2">
        <v>1</v>
      </c>
      <c r="H53" s="2">
        <v>24</v>
      </c>
      <c r="I53" s="2" t="s">
        <v>258</v>
      </c>
      <c r="J53" s="2" t="s">
        <v>258</v>
      </c>
      <c r="K53" s="2" t="s">
        <v>548</v>
      </c>
      <c r="L53" s="2" t="s">
        <v>442</v>
      </c>
      <c r="M53" s="2" t="s">
        <v>549</v>
      </c>
      <c r="N53" s="2">
        <v>96</v>
      </c>
      <c r="O53" s="2">
        <v>1</v>
      </c>
      <c r="P53" s="2" t="s">
        <v>258</v>
      </c>
      <c r="Q53" s="2" t="s">
        <v>550</v>
      </c>
      <c r="R53" s="2" t="s">
        <v>445</v>
      </c>
      <c r="S53" s="2" t="s">
        <v>446</v>
      </c>
      <c r="T53" s="2" t="s">
        <v>475</v>
      </c>
      <c r="U53" s="2">
        <v>1</v>
      </c>
      <c r="V53" s="2" t="s">
        <v>594</v>
      </c>
      <c r="W53" s="2" t="s">
        <v>590</v>
      </c>
      <c r="X53" s="2" t="s">
        <v>450</v>
      </c>
      <c r="Y53" s="2" t="s">
        <v>43</v>
      </c>
      <c r="Z53" s="2" t="s">
        <v>253</v>
      </c>
      <c r="AA53" s="2" t="s">
        <v>595</v>
      </c>
      <c r="AB53" s="2" t="s">
        <v>210</v>
      </c>
      <c r="AC53" s="6" t="str">
        <f t="shared" si="0"/>
        <v>MOD-009|WRK-011</v>
      </c>
      <c r="AD53" s="2">
        <v>2</v>
      </c>
      <c r="AE53" s="2" t="s">
        <v>554</v>
      </c>
      <c r="AF53" s="2" t="s">
        <v>454</v>
      </c>
      <c r="AG53" s="2" t="s">
        <v>455</v>
      </c>
      <c r="AH53" s="2" t="s">
        <v>135</v>
      </c>
      <c r="AI53" s="2"/>
      <c r="AJ53" s="2"/>
      <c r="AK53" s="2"/>
    </row>
  </sheetData>
  <mergeCells count="4">
    <mergeCell ref="A1:AB1"/>
    <mergeCell ref="A2:T2"/>
    <mergeCell ref="A16:P16"/>
    <mergeCell ref="A29:AB29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showGridLines="0" zoomScaleNormal="100" workbookViewId="0">
      <selection sqref="A1:I1"/>
    </sheetView>
  </sheetViews>
  <sheetFormatPr defaultColWidth="8.7265625" defaultRowHeight="14.5" x14ac:dyDescent="0.35"/>
  <cols>
    <col min="1" max="1" width="14" style="3" customWidth="1"/>
    <col min="2" max="3" width="35" style="3" customWidth="1"/>
    <col min="4" max="4" width="18" style="3" customWidth="1"/>
    <col min="5" max="5" width="50" style="3" customWidth="1"/>
    <col min="6" max="6" width="18" style="3" customWidth="1"/>
    <col min="7" max="7" width="38" style="3" customWidth="1"/>
    <col min="8" max="8" width="27" style="3" customWidth="1"/>
    <col min="9" max="9" width="43" style="3" customWidth="1"/>
    <col min="10" max="16384" width="8.7265625" style="3"/>
  </cols>
  <sheetData>
    <row r="1" spans="1:9" ht="17.5" customHeight="1" x14ac:dyDescent="0.35">
      <c r="A1" s="17" t="s">
        <v>596</v>
      </c>
      <c r="B1" s="17"/>
      <c r="C1" s="17"/>
      <c r="D1" s="17"/>
      <c r="E1" s="17"/>
      <c r="F1" s="17"/>
      <c r="G1" s="17"/>
      <c r="H1" s="17"/>
      <c r="I1" s="17"/>
    </row>
    <row r="2" spans="1:9" x14ac:dyDescent="0.35">
      <c r="A2" s="2"/>
      <c r="B2" s="2"/>
      <c r="C2" s="2"/>
      <c r="D2" s="2"/>
      <c r="E2" s="2"/>
      <c r="F2" s="2"/>
      <c r="G2" s="2"/>
      <c r="H2" s="2"/>
      <c r="I2" s="2"/>
    </row>
    <row r="3" spans="1:9" x14ac:dyDescent="0.35">
      <c r="A3" s="4" t="s">
        <v>597</v>
      </c>
      <c r="B3" s="4" t="s">
        <v>598</v>
      </c>
      <c r="C3" s="4" t="s">
        <v>5</v>
      </c>
      <c r="D3" s="4" t="s">
        <v>6</v>
      </c>
      <c r="E3" s="4" t="s">
        <v>599</v>
      </c>
      <c r="F3" s="4" t="s">
        <v>11</v>
      </c>
      <c r="G3" s="4" t="s">
        <v>12</v>
      </c>
      <c r="H3" s="4" t="s">
        <v>600</v>
      </c>
      <c r="I3" s="4" t="s">
        <v>282</v>
      </c>
    </row>
    <row r="4" spans="1:9" x14ac:dyDescent="0.35">
      <c r="A4" s="2" t="s">
        <v>601</v>
      </c>
      <c r="B4" s="2" t="s">
        <v>602</v>
      </c>
      <c r="C4" s="6">
        <f>IF(Input!C5="Simple",60,IF(Input!C5="Medium",200,600))</f>
        <v>60</v>
      </c>
      <c r="D4" s="2" t="s">
        <v>130</v>
      </c>
      <c r="E4" s="2" t="s">
        <v>603</v>
      </c>
      <c r="F4" s="2" t="s">
        <v>135</v>
      </c>
      <c r="G4" s="2" t="s">
        <v>604</v>
      </c>
      <c r="H4" s="2" t="s">
        <v>605</v>
      </c>
      <c r="I4" s="2" t="s">
        <v>606</v>
      </c>
    </row>
    <row r="5" spans="1:9" x14ac:dyDescent="0.35">
      <c r="A5" s="2" t="s">
        <v>607</v>
      </c>
      <c r="B5" s="2" t="s">
        <v>608</v>
      </c>
      <c r="C5" s="6">
        <f>IF(Input!C6="Short",200,IF(Input!C6="Detailed",600,IF(Input!C6="Analytical",1500,5000)))</f>
        <v>600</v>
      </c>
      <c r="D5" s="2" t="s">
        <v>130</v>
      </c>
      <c r="E5" s="2" t="s">
        <v>603</v>
      </c>
      <c r="F5" s="2" t="s">
        <v>135</v>
      </c>
      <c r="G5" s="2" t="s">
        <v>609</v>
      </c>
      <c r="H5" s="2" t="s">
        <v>610</v>
      </c>
      <c r="I5" s="2"/>
    </row>
    <row r="6" spans="1:9" x14ac:dyDescent="0.35">
      <c r="A6" s="2" t="s">
        <v>611</v>
      </c>
      <c r="B6" s="2" t="s">
        <v>612</v>
      </c>
      <c r="C6" s="6">
        <f>IF(Input!C7="Single",0,IF(Input!C7="Short",2,IF(Input!C7="Medium",5,10)))</f>
        <v>5</v>
      </c>
      <c r="D6" s="2" t="s">
        <v>613</v>
      </c>
      <c r="E6" s="2" t="s">
        <v>603</v>
      </c>
      <c r="F6" s="2" t="s">
        <v>135</v>
      </c>
      <c r="G6" s="2" t="s">
        <v>614</v>
      </c>
      <c r="H6" s="2" t="s">
        <v>615</v>
      </c>
      <c r="I6" s="2"/>
    </row>
    <row r="7" spans="1:9" x14ac:dyDescent="0.35">
      <c r="A7" s="2" t="s">
        <v>616</v>
      </c>
      <c r="B7" s="2" t="s">
        <v>617</v>
      </c>
      <c r="C7" s="6">
        <f>IF(ISNUMBER(SEARCH("RAG",Input!C4)),IF(Input!C8="Low",2,IF(Input!C8="Medium",4,8)),0)</f>
        <v>8</v>
      </c>
      <c r="D7" s="2" t="s">
        <v>618</v>
      </c>
      <c r="E7" s="2" t="s">
        <v>619</v>
      </c>
      <c r="F7" s="2" t="s">
        <v>135</v>
      </c>
      <c r="G7" s="2" t="s">
        <v>620</v>
      </c>
      <c r="H7" s="2" t="s">
        <v>621</v>
      </c>
      <c r="I7" s="2" t="s">
        <v>622</v>
      </c>
    </row>
    <row r="8" spans="1:9" x14ac:dyDescent="0.35">
      <c r="A8" s="2" t="s">
        <v>623</v>
      </c>
      <c r="B8" s="2" t="s">
        <v>624</v>
      </c>
      <c r="C8" s="6">
        <f>C6*(C4+C5+Input!C26)</f>
        <v>3400</v>
      </c>
      <c r="D8" s="2" t="s">
        <v>130</v>
      </c>
      <c r="E8" s="2" t="s">
        <v>625</v>
      </c>
      <c r="F8" s="2" t="s">
        <v>626</v>
      </c>
      <c r="G8" s="2" t="s">
        <v>627</v>
      </c>
      <c r="H8" s="2" t="s">
        <v>38</v>
      </c>
      <c r="I8" s="2"/>
    </row>
    <row r="9" spans="1:9" x14ac:dyDescent="0.35">
      <c r="A9" s="2" t="s">
        <v>628</v>
      </c>
      <c r="B9" s="2" t="s">
        <v>629</v>
      </c>
      <c r="C9" s="6">
        <f>C7*Input!C27</f>
        <v>4096</v>
      </c>
      <c r="D9" s="2" t="s">
        <v>130</v>
      </c>
      <c r="E9" s="2" t="s">
        <v>630</v>
      </c>
      <c r="F9" s="2" t="s">
        <v>626</v>
      </c>
      <c r="G9" s="2" t="s">
        <v>631</v>
      </c>
      <c r="H9" s="2" t="s">
        <v>605</v>
      </c>
      <c r="I9" s="2"/>
    </row>
    <row r="10" spans="1:9" x14ac:dyDescent="0.35">
      <c r="A10" s="2" t="s">
        <v>632</v>
      </c>
      <c r="B10" s="2" t="s">
        <v>633</v>
      </c>
      <c r="C10" s="6">
        <f>Input!C10*Input!C28</f>
        <v>750</v>
      </c>
      <c r="D10" s="2" t="s">
        <v>634</v>
      </c>
      <c r="E10" s="2" t="s">
        <v>635</v>
      </c>
      <c r="F10" s="2" t="s">
        <v>626</v>
      </c>
      <c r="G10" s="2" t="s">
        <v>636</v>
      </c>
      <c r="H10" s="2" t="s">
        <v>637</v>
      </c>
      <c r="I10" s="2"/>
    </row>
    <row r="11" spans="1:9" x14ac:dyDescent="0.35">
      <c r="A11" s="2" t="s">
        <v>638</v>
      </c>
      <c r="B11" s="2" t="s">
        <v>639</v>
      </c>
      <c r="C11" s="6">
        <f>Input!C25+C4+C8+C9+C10</f>
        <v>8906</v>
      </c>
      <c r="D11" s="2" t="s">
        <v>130</v>
      </c>
      <c r="E11" s="2" t="s">
        <v>640</v>
      </c>
      <c r="F11" s="2" t="s">
        <v>626</v>
      </c>
      <c r="G11" s="2" t="s">
        <v>641</v>
      </c>
      <c r="H11" s="2" t="s">
        <v>642</v>
      </c>
      <c r="I11" s="2"/>
    </row>
    <row r="12" spans="1:9" x14ac:dyDescent="0.35">
      <c r="A12" s="2" t="s">
        <v>643</v>
      </c>
      <c r="B12" s="2" t="s">
        <v>644</v>
      </c>
      <c r="C12" s="6">
        <f>C11+C5</f>
        <v>9506</v>
      </c>
      <c r="D12" s="2" t="s">
        <v>645</v>
      </c>
      <c r="E12" s="2" t="s">
        <v>646</v>
      </c>
      <c r="F12" s="2" t="s">
        <v>626</v>
      </c>
      <c r="G12" s="2" t="s">
        <v>641</v>
      </c>
      <c r="H12" s="2" t="s">
        <v>647</v>
      </c>
      <c r="I12" s="2"/>
    </row>
    <row r="13" spans="1:9" x14ac:dyDescent="0.35">
      <c r="A13" s="2" t="s">
        <v>648</v>
      </c>
      <c r="B13" s="2" t="s">
        <v>649</v>
      </c>
      <c r="C13" s="6">
        <f>Input!C14*Input!C31</f>
        <v>10</v>
      </c>
      <c r="D13" s="2" t="s">
        <v>650</v>
      </c>
      <c r="E13" s="2" t="s">
        <v>651</v>
      </c>
      <c r="F13" s="2" t="s">
        <v>626</v>
      </c>
      <c r="G13" s="2" t="s">
        <v>652</v>
      </c>
      <c r="H13" s="2" t="s">
        <v>653</v>
      </c>
      <c r="I13" s="2"/>
    </row>
    <row r="14" spans="1:9" ht="28.5" customHeight="1" x14ac:dyDescent="0.35">
      <c r="A14" s="2" t="s">
        <v>654</v>
      </c>
      <c r="B14" s="2" t="s">
        <v>655</v>
      </c>
      <c r="C14" s="6">
        <f>C13*C11</f>
        <v>89060</v>
      </c>
      <c r="D14" s="2" t="s">
        <v>656</v>
      </c>
      <c r="E14" s="2" t="s">
        <v>657</v>
      </c>
      <c r="F14" s="2" t="s">
        <v>626</v>
      </c>
      <c r="G14" s="2" t="s">
        <v>658</v>
      </c>
      <c r="H14" s="2" t="s">
        <v>659</v>
      </c>
      <c r="I14" s="2"/>
    </row>
    <row r="15" spans="1:9" x14ac:dyDescent="0.35">
      <c r="A15" s="2" t="s">
        <v>660</v>
      </c>
      <c r="B15" s="2" t="s">
        <v>661</v>
      </c>
      <c r="C15" s="6">
        <f>C13*C5</f>
        <v>6000</v>
      </c>
      <c r="D15" s="2" t="s">
        <v>656</v>
      </c>
      <c r="E15" s="2" t="s">
        <v>662</v>
      </c>
      <c r="F15" s="2" t="s">
        <v>626</v>
      </c>
      <c r="G15" s="2" t="s">
        <v>658</v>
      </c>
      <c r="H15" s="2" t="s">
        <v>663</v>
      </c>
      <c r="I15" s="2"/>
    </row>
    <row r="16" spans="1:9" x14ac:dyDescent="0.35">
      <c r="A16" s="2" t="s">
        <v>664</v>
      </c>
      <c r="B16" s="2" t="s">
        <v>665</v>
      </c>
      <c r="C16" s="6">
        <f>Input!C13</f>
        <v>1000</v>
      </c>
      <c r="D16" s="2" t="s">
        <v>666</v>
      </c>
      <c r="E16" s="2" t="s">
        <v>667</v>
      </c>
      <c r="F16" s="2" t="s">
        <v>21</v>
      </c>
      <c r="G16" s="2" t="s">
        <v>668</v>
      </c>
      <c r="H16" s="2" t="s">
        <v>669</v>
      </c>
      <c r="I16" s="2"/>
    </row>
    <row r="17" spans="1:9" x14ac:dyDescent="0.35">
      <c r="A17" s="2" t="s">
        <v>198</v>
      </c>
      <c r="B17" s="2" t="s">
        <v>670</v>
      </c>
      <c r="C17" s="6" t="str">
        <f>IF(C12&lt;=8192,"CTX1",IF(C12&lt;=32768,"CTX2",IF(C12&lt;=65536,"CTX3",IF(C12&lt;=131072,"CTX4","Above 128K"))))</f>
        <v>CTX2</v>
      </c>
      <c r="D17" s="2" t="s">
        <v>671</v>
      </c>
      <c r="E17" s="2" t="s">
        <v>672</v>
      </c>
      <c r="F17" s="2" t="s">
        <v>626</v>
      </c>
      <c r="G17" s="2" t="s">
        <v>22</v>
      </c>
      <c r="H17" s="2" t="s">
        <v>673</v>
      </c>
      <c r="I17" s="2"/>
    </row>
    <row r="18" spans="1:9" x14ac:dyDescent="0.35">
      <c r="A18" s="2" t="s">
        <v>214</v>
      </c>
      <c r="B18" s="2" t="s">
        <v>20</v>
      </c>
      <c r="C18" s="6" t="str">
        <f>IF(Input!C4="Embedding Generation","WRK-001",IF(Input!C4="LoRA / QLoRA Fine-Tuning","WRK-008",IF(Input!C4="Full Fine-Tuning","WRK-009",IF(Input!C4="Foundation Model Training","WRK-010",IF(Input!C4="Computer Vision / Multimodal","WRK-011",IF(OR(Input!C4="Predictive ML",Input!C4="Forecasting"),"WRK-012",IF(Input!C4="Batch Inference","WRK-007",IF(OR(Input!C9="Advanced",Input!C10&gt;=5),"WRK-006",IF(C17="CTX4","WRK-005",IF(OR(Input!C5="Complex",Input!C6="Analytical"),"WRK-004",IF(OR(Input!C5="Medium",Input!C6="Detailed",Input!C10&gt;=2),"WRK-003","WRK-002")))))))))))</f>
        <v>WRK-006</v>
      </c>
      <c r="D18" s="2" t="s">
        <v>674</v>
      </c>
      <c r="E18" s="2" t="s">
        <v>675</v>
      </c>
      <c r="F18" s="2" t="s">
        <v>626</v>
      </c>
      <c r="G18" s="2" t="s">
        <v>676</v>
      </c>
      <c r="H18" s="2" t="s">
        <v>677</v>
      </c>
      <c r="I18" s="2" t="s">
        <v>678</v>
      </c>
    </row>
    <row r="19" spans="1:9" x14ac:dyDescent="0.35">
      <c r="A19" s="2" t="s">
        <v>217</v>
      </c>
      <c r="B19" s="2" t="s">
        <v>679</v>
      </c>
      <c r="C19" s="6" t="str">
        <f>IF(C18="WRK-001","MOD-010",IF(C18="WRK-002","MOD-004",IF(C18="WRK-003","MOD-005",IF(C18="WRK-004","MOD-003",IF(C18="WRK-005","MOD-009",IF(C18="WRK-006","MOD-003",IF(C18="WRK-007","MOD-008",IF(C18="WRK-008","MOD-005",IF(C18="WRK-009","MOD-003",IF(C18="WRK-010","CUSTOM",IF(C18="WRK-011","MOD-009",IF(C18="WRK-012","NON-LLM","Data Required"))))))))))))</f>
        <v>MOD-003</v>
      </c>
      <c r="D19" s="2" t="s">
        <v>154</v>
      </c>
      <c r="E19" s="2" t="s">
        <v>680</v>
      </c>
      <c r="F19" s="2" t="s">
        <v>681</v>
      </c>
      <c r="G19" s="2" t="s">
        <v>682</v>
      </c>
      <c r="H19" s="2" t="s">
        <v>61</v>
      </c>
      <c r="I19" s="2" t="s">
        <v>683</v>
      </c>
    </row>
    <row r="20" spans="1:9" x14ac:dyDescent="0.35">
      <c r="A20" s="2" t="s">
        <v>222</v>
      </c>
      <c r="B20" s="2" t="s">
        <v>684</v>
      </c>
      <c r="C20" s="6" t="str">
        <f>IF(Input!C29&lt;&gt;"",Input!C29,C19)</f>
        <v>MOD-003</v>
      </c>
      <c r="D20" s="2" t="s">
        <v>154</v>
      </c>
      <c r="E20" s="2" t="s">
        <v>685</v>
      </c>
      <c r="F20" s="2" t="s">
        <v>626</v>
      </c>
      <c r="G20" s="2" t="s">
        <v>686</v>
      </c>
      <c r="H20" s="2" t="s">
        <v>687</v>
      </c>
      <c r="I20" s="2" t="s">
        <v>688</v>
      </c>
    </row>
    <row r="21" spans="1:9" x14ac:dyDescent="0.35">
      <c r="A21" s="2" t="s">
        <v>230</v>
      </c>
      <c r="B21" s="2" t="s">
        <v>689</v>
      </c>
      <c r="C21" s="6" t="str">
        <f>IFERROR(INDEX(Model_Mapping_Catalog!$C$4:$C$13,MATCH(C20,Model_Mapping_Catalog!$A$4:$A$13,0)),C20)</f>
        <v>Llama 3.3 70B Instruct</v>
      </c>
      <c r="D21" s="2" t="s">
        <v>160</v>
      </c>
      <c r="E21" s="2" t="s">
        <v>690</v>
      </c>
      <c r="F21" s="2" t="s">
        <v>626</v>
      </c>
      <c r="G21" s="2" t="s">
        <v>22</v>
      </c>
      <c r="H21" s="2" t="s">
        <v>691</v>
      </c>
      <c r="I21" s="2"/>
    </row>
    <row r="22" spans="1:9" x14ac:dyDescent="0.35">
      <c r="A22" s="2" t="s">
        <v>234</v>
      </c>
      <c r="B22" s="2" t="s">
        <v>692</v>
      </c>
      <c r="C22" s="6">
        <f>IFERROR(INDEX(Model_Mapping_Catalog!$F$4:$F$13,MATCH(C20,Model_Mapping_Catalog!$A$4:$A$13,0)),"Data Required")</f>
        <v>131072</v>
      </c>
      <c r="D22" s="2" t="s">
        <v>645</v>
      </c>
      <c r="E22" s="2" t="s">
        <v>690</v>
      </c>
      <c r="F22" s="2" t="s">
        <v>693</v>
      </c>
      <c r="G22" s="2" t="s">
        <v>694</v>
      </c>
      <c r="H22" s="2" t="s">
        <v>695</v>
      </c>
      <c r="I22" s="2"/>
    </row>
    <row r="23" spans="1:9" x14ac:dyDescent="0.35">
      <c r="A23" s="2" t="s">
        <v>237</v>
      </c>
      <c r="B23" s="2" t="s">
        <v>696</v>
      </c>
      <c r="C23" s="6" t="str">
        <f>IF(OR(C22="Data Required",C12=""),"Data Required",IF(C22&gt;=C12,"Pass","Fail"))</f>
        <v>Pass</v>
      </c>
      <c r="D23" s="2" t="s">
        <v>697</v>
      </c>
      <c r="E23" s="2" t="s">
        <v>698</v>
      </c>
      <c r="F23" s="2" t="s">
        <v>626</v>
      </c>
      <c r="G23" s="2" t="s">
        <v>699</v>
      </c>
      <c r="H23" s="2" t="s">
        <v>700</v>
      </c>
      <c r="I23" s="2"/>
    </row>
    <row r="24" spans="1:9" ht="29" x14ac:dyDescent="0.35">
      <c r="A24" s="2" t="s">
        <v>242</v>
      </c>
      <c r="B24" s="2" t="s">
        <v>701</v>
      </c>
      <c r="C24" s="6" t="str">
        <f>IF(OR(C20="CUSTOM",C20="NON-LLM"),"Separate Evaluation Branch",IF(C23="Fail","Ineligible","Evaluation Required"))</f>
        <v>Evaluation Required</v>
      </c>
      <c r="D24" s="2" t="s">
        <v>697</v>
      </c>
      <c r="E24" s="2" t="s">
        <v>702</v>
      </c>
      <c r="F24" s="2" t="s">
        <v>626</v>
      </c>
      <c r="G24" s="2" t="s">
        <v>703</v>
      </c>
      <c r="H24" s="2" t="s">
        <v>704</v>
      </c>
      <c r="I24" s="2"/>
    </row>
    <row r="25" spans="1:9" x14ac:dyDescent="0.35">
      <c r="A25" s="2" t="s">
        <v>249</v>
      </c>
      <c r="B25" s="2" t="s">
        <v>705</v>
      </c>
      <c r="C25" s="6" t="str">
        <f>IF(C23="Fail","Ineligible",IF(C24="Evaluation Required","Candidate Model","Separate Branch"))</f>
        <v>Candidate Model</v>
      </c>
      <c r="D25" s="2" t="s">
        <v>697</v>
      </c>
      <c r="E25" s="2" t="s">
        <v>706</v>
      </c>
      <c r="F25" s="2" t="s">
        <v>626</v>
      </c>
      <c r="G25" s="2" t="s">
        <v>707</v>
      </c>
      <c r="H25" s="2" t="s">
        <v>708</v>
      </c>
      <c r="I25" s="2"/>
    </row>
  </sheetData>
  <mergeCells count="1">
    <mergeCell ref="A1:I1"/>
  </mergeCells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39"/>
  <sheetViews>
    <sheetView showGridLines="0" tabSelected="1" zoomScale="52" zoomScaleNormal="100" workbookViewId="0">
      <selection activeCell="H30" sqref="H30"/>
    </sheetView>
  </sheetViews>
  <sheetFormatPr defaultColWidth="24" defaultRowHeight="14.5" x14ac:dyDescent="0.35"/>
  <cols>
    <col min="1" max="1" width="18.453125" style="3" bestFit="1" customWidth="1"/>
    <col min="2" max="3" width="16.90625" style="3" bestFit="1" customWidth="1"/>
    <col min="4" max="4" width="33.08984375" style="3" bestFit="1" customWidth="1"/>
    <col min="5" max="5" width="38" style="3" bestFit="1" customWidth="1"/>
    <col min="6" max="6" width="16.81640625" style="3" bestFit="1" customWidth="1"/>
    <col min="7" max="7" width="22.54296875" style="3" bestFit="1" customWidth="1"/>
    <col min="8" max="8" width="47.6328125" style="3" bestFit="1" customWidth="1"/>
    <col min="9" max="9" width="20" style="3" bestFit="1" customWidth="1"/>
    <col min="10" max="10" width="34.1796875" style="3" customWidth="1"/>
    <col min="11" max="11" width="43.81640625" style="3" bestFit="1" customWidth="1"/>
    <col min="12" max="12" width="21.81640625" style="3" bestFit="1" customWidth="1"/>
    <col min="13" max="13" width="43.08984375" style="3" bestFit="1" customWidth="1"/>
    <col min="14" max="14" width="42.7265625" style="3" bestFit="1" customWidth="1"/>
    <col min="15" max="15" width="71.26953125" style="3" bestFit="1" customWidth="1"/>
    <col min="16" max="16" width="126.453125" style="3" bestFit="1" customWidth="1"/>
    <col min="17" max="17" width="35.26953125" style="3" bestFit="1" customWidth="1"/>
    <col min="18" max="18" width="126.453125" style="3" bestFit="1" customWidth="1"/>
    <col min="19" max="19" width="45.90625" style="3" bestFit="1" customWidth="1"/>
    <col min="20" max="20" width="16.81640625" style="3" bestFit="1" customWidth="1"/>
    <col min="21" max="21" width="18.08984375" style="3" bestFit="1" customWidth="1"/>
    <col min="22" max="22" width="36.6328125" style="3" bestFit="1" customWidth="1"/>
    <col min="23" max="23" width="12.54296875" style="3" bestFit="1" customWidth="1"/>
    <col min="24" max="24" width="18.1796875" style="3" bestFit="1" customWidth="1"/>
    <col min="25" max="25" width="14.90625" style="3" bestFit="1" customWidth="1"/>
    <col min="26" max="26" width="27.26953125" style="3" bestFit="1" customWidth="1"/>
    <col min="27" max="27" width="23.81640625" style="3" bestFit="1" customWidth="1"/>
    <col min="28" max="28" width="26.7265625" style="3" bestFit="1" customWidth="1"/>
    <col min="29" max="29" width="16.6328125" style="3" bestFit="1" customWidth="1"/>
    <col min="30" max="16384" width="24" style="3"/>
  </cols>
  <sheetData>
    <row r="1" spans="1:30" ht="18.5" x14ac:dyDescent="0.35">
      <c r="A1" s="15" t="s">
        <v>709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8"/>
      <c r="AA1" s="8"/>
      <c r="AB1" s="8"/>
      <c r="AC1" s="8"/>
    </row>
    <row r="2" spans="1:30" x14ac:dyDescent="0.35">
      <c r="A2" s="19" t="s">
        <v>710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8"/>
      <c r="X2" s="8"/>
      <c r="Y2" s="8"/>
      <c r="Z2" s="8"/>
      <c r="AA2" s="8"/>
      <c r="AB2" s="8"/>
      <c r="AC2" s="8"/>
    </row>
    <row r="3" spans="1:30" x14ac:dyDescent="0.35">
      <c r="A3" s="20" t="s">
        <v>711</v>
      </c>
      <c r="B3" s="20" t="s">
        <v>712</v>
      </c>
      <c r="C3" s="20" t="s">
        <v>713</v>
      </c>
      <c r="D3" s="20" t="s">
        <v>175</v>
      </c>
      <c r="E3" s="20" t="s">
        <v>714</v>
      </c>
      <c r="F3" s="20" t="s">
        <v>715</v>
      </c>
      <c r="G3" s="20" t="s">
        <v>716</v>
      </c>
      <c r="H3" s="20" t="s">
        <v>717</v>
      </c>
      <c r="I3" s="20" t="s">
        <v>718</v>
      </c>
      <c r="J3" s="20" t="s">
        <v>719</v>
      </c>
      <c r="K3" s="20" t="s">
        <v>720</v>
      </c>
      <c r="L3" s="20" t="s">
        <v>721</v>
      </c>
      <c r="M3" s="20" t="s">
        <v>722</v>
      </c>
      <c r="N3" s="20" t="s">
        <v>723</v>
      </c>
      <c r="O3" s="20" t="s">
        <v>724</v>
      </c>
      <c r="P3" s="20" t="s">
        <v>725</v>
      </c>
      <c r="Q3" s="20" t="s">
        <v>726</v>
      </c>
      <c r="R3" s="20" t="s">
        <v>727</v>
      </c>
      <c r="S3" s="20" t="s">
        <v>187</v>
      </c>
      <c r="T3" s="20" t="s">
        <v>728</v>
      </c>
      <c r="U3" s="20" t="s">
        <v>729</v>
      </c>
      <c r="V3" s="20" t="s">
        <v>730</v>
      </c>
      <c r="W3" s="8"/>
      <c r="X3" s="8"/>
      <c r="Y3" s="8"/>
      <c r="Z3" s="8"/>
      <c r="AA3" s="8"/>
      <c r="AB3" s="8"/>
      <c r="AC3" s="8"/>
    </row>
    <row r="4" spans="1:30" x14ac:dyDescent="0.35">
      <c r="A4" s="8" t="s">
        <v>731</v>
      </c>
      <c r="B4" s="8" t="s">
        <v>460</v>
      </c>
      <c r="C4" s="8" t="s">
        <v>732</v>
      </c>
      <c r="D4" s="8" t="s">
        <v>733</v>
      </c>
      <c r="E4" s="8" t="s">
        <v>734</v>
      </c>
      <c r="F4" s="8">
        <v>2</v>
      </c>
      <c r="G4" s="8">
        <v>64</v>
      </c>
      <c r="H4" s="8">
        <v>8</v>
      </c>
      <c r="I4" s="8">
        <v>2</v>
      </c>
      <c r="J4" s="8" t="s">
        <v>735</v>
      </c>
      <c r="K4" s="8" t="s">
        <v>736</v>
      </c>
      <c r="L4" s="8">
        <v>4</v>
      </c>
      <c r="M4" s="8" t="s">
        <v>737</v>
      </c>
      <c r="N4" s="8">
        <v>122.88</v>
      </c>
      <c r="O4" s="8" t="s">
        <v>738</v>
      </c>
      <c r="P4" s="8" t="s">
        <v>739</v>
      </c>
      <c r="Q4" s="8" t="s">
        <v>740</v>
      </c>
      <c r="R4" s="8" t="s">
        <v>741</v>
      </c>
      <c r="S4" s="8" t="s">
        <v>208</v>
      </c>
      <c r="T4" s="8" t="s">
        <v>742</v>
      </c>
      <c r="U4" s="8" t="s">
        <v>258</v>
      </c>
      <c r="V4" s="8" t="s">
        <v>743</v>
      </c>
      <c r="W4" s="8"/>
      <c r="X4" s="8"/>
      <c r="Y4" s="8"/>
      <c r="Z4" s="8"/>
      <c r="AA4" s="8"/>
      <c r="AB4" s="8"/>
      <c r="AC4" s="8"/>
    </row>
    <row r="5" spans="1:30" x14ac:dyDescent="0.35">
      <c r="A5" s="8" t="s">
        <v>744</v>
      </c>
      <c r="B5" s="8" t="s">
        <v>497</v>
      </c>
      <c r="C5" s="8" t="s">
        <v>732</v>
      </c>
      <c r="D5" s="8" t="s">
        <v>733</v>
      </c>
      <c r="E5" s="8" t="s">
        <v>745</v>
      </c>
      <c r="F5" s="8">
        <v>2</v>
      </c>
      <c r="G5" s="8">
        <v>56</v>
      </c>
      <c r="H5" s="8" t="s">
        <v>258</v>
      </c>
      <c r="I5" s="8">
        <v>4</v>
      </c>
      <c r="J5" s="8" t="s">
        <v>746</v>
      </c>
      <c r="K5" s="8" t="s">
        <v>747</v>
      </c>
      <c r="L5" s="8">
        <v>4</v>
      </c>
      <c r="M5" s="8" t="s">
        <v>748</v>
      </c>
      <c r="N5" s="8" t="s">
        <v>258</v>
      </c>
      <c r="O5" s="8" t="s">
        <v>749</v>
      </c>
      <c r="P5" s="8" t="s">
        <v>258</v>
      </c>
      <c r="Q5" s="8" t="s">
        <v>750</v>
      </c>
      <c r="R5" s="8" t="s">
        <v>751</v>
      </c>
      <c r="S5" s="8" t="s">
        <v>208</v>
      </c>
      <c r="T5" s="8" t="s">
        <v>742</v>
      </c>
      <c r="U5" s="8" t="s">
        <v>258</v>
      </c>
      <c r="V5" s="8" t="s">
        <v>743</v>
      </c>
      <c r="W5" s="8"/>
      <c r="X5" s="8"/>
      <c r="Y5" s="8"/>
      <c r="Z5" s="8"/>
      <c r="AA5" s="8"/>
      <c r="AB5" s="8"/>
      <c r="AC5" s="8"/>
    </row>
    <row r="6" spans="1:30" x14ac:dyDescent="0.35">
      <c r="A6" s="8" t="s">
        <v>752</v>
      </c>
      <c r="B6" s="8" t="s">
        <v>508</v>
      </c>
      <c r="C6" s="8" t="s">
        <v>732</v>
      </c>
      <c r="D6" s="8" t="s">
        <v>733</v>
      </c>
      <c r="E6" s="8" t="s">
        <v>734</v>
      </c>
      <c r="F6" s="8">
        <v>2</v>
      </c>
      <c r="G6" s="8">
        <v>64</v>
      </c>
      <c r="H6" s="8">
        <v>4</v>
      </c>
      <c r="I6" s="8">
        <v>6</v>
      </c>
      <c r="J6" s="8" t="s">
        <v>753</v>
      </c>
      <c r="K6" s="8" t="s">
        <v>754</v>
      </c>
      <c r="L6" s="8">
        <v>8</v>
      </c>
      <c r="M6" s="8" t="s">
        <v>755</v>
      </c>
      <c r="N6" s="8">
        <v>122.88</v>
      </c>
      <c r="O6" s="8" t="s">
        <v>756</v>
      </c>
      <c r="P6" s="8" t="s">
        <v>757</v>
      </c>
      <c r="Q6" s="8" t="s">
        <v>758</v>
      </c>
      <c r="R6" s="8" t="s">
        <v>759</v>
      </c>
      <c r="S6" s="8" t="s">
        <v>208</v>
      </c>
      <c r="T6" s="8" t="s">
        <v>742</v>
      </c>
      <c r="U6" s="8" t="s">
        <v>258</v>
      </c>
      <c r="V6" s="8" t="s">
        <v>743</v>
      </c>
      <c r="W6" s="8"/>
      <c r="X6" s="8"/>
      <c r="Y6" s="8"/>
      <c r="Z6" s="8"/>
      <c r="AA6" s="8"/>
      <c r="AB6" s="8"/>
      <c r="AC6" s="8"/>
    </row>
    <row r="7" spans="1:30" x14ac:dyDescent="0.35">
      <c r="A7" s="8" t="s">
        <v>760</v>
      </c>
      <c r="B7" s="8" t="s">
        <v>445</v>
      </c>
      <c r="C7" s="8" t="s">
        <v>761</v>
      </c>
      <c r="D7" s="8" t="s">
        <v>733</v>
      </c>
      <c r="E7" s="8" t="s">
        <v>762</v>
      </c>
      <c r="F7" s="8">
        <v>2</v>
      </c>
      <c r="G7" s="8">
        <v>192</v>
      </c>
      <c r="H7" s="8">
        <v>3.0720000000000001</v>
      </c>
      <c r="I7" s="8">
        <v>4</v>
      </c>
      <c r="J7" s="8" t="s">
        <v>735</v>
      </c>
      <c r="K7" s="8" t="s">
        <v>763</v>
      </c>
      <c r="L7" s="8">
        <v>8</v>
      </c>
      <c r="M7" s="8" t="s">
        <v>764</v>
      </c>
      <c r="N7" s="8">
        <v>122.88</v>
      </c>
      <c r="O7" s="8" t="s">
        <v>765</v>
      </c>
      <c r="P7" s="8" t="s">
        <v>766</v>
      </c>
      <c r="Q7" s="8" t="s">
        <v>767</v>
      </c>
      <c r="R7" s="8" t="s">
        <v>768</v>
      </c>
      <c r="S7" s="8" t="s">
        <v>208</v>
      </c>
      <c r="T7" s="8" t="s">
        <v>742</v>
      </c>
      <c r="U7" s="8" t="s">
        <v>258</v>
      </c>
      <c r="V7" s="8" t="s">
        <v>743</v>
      </c>
      <c r="W7" s="8"/>
      <c r="X7" s="8"/>
      <c r="Y7" s="8"/>
      <c r="Z7" s="8"/>
      <c r="AA7" s="8"/>
      <c r="AB7" s="8"/>
      <c r="AC7" s="8"/>
    </row>
    <row r="8" spans="1:30" x14ac:dyDescent="0.35">
      <c r="A8" s="8" t="s">
        <v>769</v>
      </c>
      <c r="B8" s="8" t="s">
        <v>770</v>
      </c>
      <c r="C8" s="8" t="s">
        <v>761</v>
      </c>
      <c r="D8" s="8" t="s">
        <v>733</v>
      </c>
      <c r="E8" s="8" t="s">
        <v>771</v>
      </c>
      <c r="F8" s="8">
        <v>2</v>
      </c>
      <c r="G8" s="8">
        <v>86</v>
      </c>
      <c r="H8" s="8" t="s">
        <v>258</v>
      </c>
      <c r="I8" s="8">
        <v>4</v>
      </c>
      <c r="J8" s="8" t="s">
        <v>735</v>
      </c>
      <c r="K8" s="8" t="s">
        <v>772</v>
      </c>
      <c r="L8" s="8">
        <v>8</v>
      </c>
      <c r="M8" s="8" t="s">
        <v>773</v>
      </c>
      <c r="N8" s="8" t="s">
        <v>258</v>
      </c>
      <c r="O8" s="8" t="s">
        <v>774</v>
      </c>
      <c r="P8" s="8" t="s">
        <v>766</v>
      </c>
      <c r="Q8" s="8" t="s">
        <v>775</v>
      </c>
      <c r="R8" s="8" t="s">
        <v>776</v>
      </c>
      <c r="S8" s="8" t="s">
        <v>777</v>
      </c>
      <c r="T8" s="8" t="s">
        <v>742</v>
      </c>
      <c r="U8" s="8" t="s">
        <v>258</v>
      </c>
      <c r="V8" s="8" t="s">
        <v>743</v>
      </c>
      <c r="W8" s="8"/>
      <c r="X8" s="8"/>
      <c r="Y8" s="8"/>
      <c r="Z8" s="8"/>
      <c r="AA8" s="8"/>
      <c r="AB8" s="8"/>
      <c r="AC8" s="8"/>
    </row>
    <row r="9" spans="1:30" x14ac:dyDescent="0.35">
      <c r="A9" s="8" t="s">
        <v>778</v>
      </c>
      <c r="B9" s="8" t="s">
        <v>560</v>
      </c>
      <c r="C9" s="8" t="s">
        <v>761</v>
      </c>
      <c r="D9" s="8" t="s">
        <v>733</v>
      </c>
      <c r="E9" s="8" t="s">
        <v>779</v>
      </c>
      <c r="F9" s="8">
        <v>2</v>
      </c>
      <c r="G9" s="8">
        <v>86</v>
      </c>
      <c r="H9" s="8">
        <v>4</v>
      </c>
      <c r="I9" s="8">
        <v>10</v>
      </c>
      <c r="J9" s="8" t="s">
        <v>735</v>
      </c>
      <c r="K9" s="8" t="s">
        <v>780</v>
      </c>
      <c r="L9" s="8">
        <v>8</v>
      </c>
      <c r="M9" s="8" t="s">
        <v>781</v>
      </c>
      <c r="N9" s="8">
        <v>153.6</v>
      </c>
      <c r="O9" s="8" t="s">
        <v>782</v>
      </c>
      <c r="P9" s="8" t="s">
        <v>783</v>
      </c>
      <c r="Q9" s="8" t="s">
        <v>784</v>
      </c>
      <c r="R9" s="8" t="s">
        <v>564</v>
      </c>
      <c r="S9" s="8" t="s">
        <v>208</v>
      </c>
      <c r="T9" s="8" t="s">
        <v>742</v>
      </c>
      <c r="U9" s="8" t="s">
        <v>258</v>
      </c>
      <c r="V9" s="8" t="s">
        <v>743</v>
      </c>
      <c r="W9" s="8"/>
      <c r="X9" s="8"/>
      <c r="Y9" s="8"/>
      <c r="Z9" s="8"/>
      <c r="AA9" s="8"/>
      <c r="AB9" s="8"/>
      <c r="AC9" s="8"/>
    </row>
    <row r="10" spans="1:30" x14ac:dyDescent="0.35">
      <c r="A10" s="8" t="s">
        <v>785</v>
      </c>
      <c r="B10" s="8" t="s">
        <v>571</v>
      </c>
      <c r="C10" s="8" t="s">
        <v>761</v>
      </c>
      <c r="D10" s="8" t="s">
        <v>733</v>
      </c>
      <c r="E10" s="8" t="s">
        <v>762</v>
      </c>
      <c r="F10" s="8">
        <v>2</v>
      </c>
      <c r="G10" s="8">
        <v>192</v>
      </c>
      <c r="H10" s="8">
        <v>6</v>
      </c>
      <c r="I10" s="8">
        <v>10</v>
      </c>
      <c r="J10" s="8" t="s">
        <v>735</v>
      </c>
      <c r="K10" s="8" t="s">
        <v>786</v>
      </c>
      <c r="L10" s="8">
        <v>8</v>
      </c>
      <c r="M10" s="8" t="s">
        <v>787</v>
      </c>
      <c r="N10" s="8">
        <v>245.76</v>
      </c>
      <c r="O10" s="8" t="s">
        <v>788</v>
      </c>
      <c r="P10" s="8" t="s">
        <v>783</v>
      </c>
      <c r="Q10" s="8" t="s">
        <v>789</v>
      </c>
      <c r="R10" s="8" t="s">
        <v>574</v>
      </c>
      <c r="S10" s="8" t="s">
        <v>208</v>
      </c>
      <c r="T10" s="8" t="s">
        <v>742</v>
      </c>
      <c r="U10" s="8" t="s">
        <v>258</v>
      </c>
      <c r="V10" s="8" t="s">
        <v>743</v>
      </c>
      <c r="W10" s="8"/>
      <c r="X10" s="8"/>
      <c r="Y10" s="8"/>
      <c r="Z10" s="8"/>
      <c r="AA10" s="8"/>
      <c r="AB10" s="8"/>
      <c r="AC10" s="8"/>
    </row>
    <row r="11" spans="1:3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30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30" x14ac:dyDescent="0.35">
      <c r="A13" s="19" t="s">
        <v>790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8"/>
      <c r="X13" s="8"/>
      <c r="Y13" s="8"/>
      <c r="Z13" s="8"/>
      <c r="AA13" s="8"/>
      <c r="AB13" s="8"/>
      <c r="AC13" s="8"/>
    </row>
    <row r="14" spans="1:30" x14ac:dyDescent="0.35">
      <c r="A14" s="9" t="s">
        <v>791</v>
      </c>
      <c r="B14" s="9" t="s">
        <v>711</v>
      </c>
      <c r="C14" s="9" t="s">
        <v>712</v>
      </c>
      <c r="D14" s="9" t="s">
        <v>417</v>
      </c>
      <c r="E14" s="9" t="s">
        <v>418</v>
      </c>
      <c r="F14" s="9" t="s">
        <v>720</v>
      </c>
      <c r="G14" s="9" t="s">
        <v>792</v>
      </c>
      <c r="H14" s="9" t="s">
        <v>793</v>
      </c>
      <c r="I14" s="9" t="s">
        <v>794</v>
      </c>
      <c r="J14" s="9" t="s">
        <v>795</v>
      </c>
      <c r="K14" s="9" t="s">
        <v>796</v>
      </c>
      <c r="L14" s="9" t="s">
        <v>797</v>
      </c>
      <c r="M14" s="9" t="s">
        <v>798</v>
      </c>
      <c r="N14" s="9" t="s">
        <v>799</v>
      </c>
      <c r="O14" s="9" t="s">
        <v>800</v>
      </c>
      <c r="P14" s="9" t="s">
        <v>801</v>
      </c>
      <c r="Q14" s="9" t="s">
        <v>802</v>
      </c>
      <c r="R14" s="9" t="s">
        <v>803</v>
      </c>
      <c r="S14" s="9" t="s">
        <v>804</v>
      </c>
      <c r="T14" s="9" t="s">
        <v>805</v>
      </c>
      <c r="U14" s="9" t="s">
        <v>806</v>
      </c>
      <c r="V14" s="9" t="s">
        <v>807</v>
      </c>
      <c r="W14" s="9" t="s">
        <v>808</v>
      </c>
      <c r="X14" s="9" t="s">
        <v>809</v>
      </c>
      <c r="Y14" s="9" t="s">
        <v>810</v>
      </c>
      <c r="Z14" s="9" t="s">
        <v>811</v>
      </c>
      <c r="AA14" s="9" t="s">
        <v>812</v>
      </c>
      <c r="AB14" s="9" t="s">
        <v>813</v>
      </c>
      <c r="AC14" s="9" t="s">
        <v>814</v>
      </c>
      <c r="AD14" s="9" t="s">
        <v>1209</v>
      </c>
    </row>
    <row r="15" spans="1:30" x14ac:dyDescent="0.35">
      <c r="A15" s="8" t="s">
        <v>459</v>
      </c>
      <c r="B15" s="8" t="s">
        <v>731</v>
      </c>
      <c r="C15" s="8" t="s">
        <v>460</v>
      </c>
      <c r="D15" s="8" t="s">
        <v>442</v>
      </c>
      <c r="E15" s="8" t="s">
        <v>458</v>
      </c>
      <c r="F15" s="8" t="s">
        <v>815</v>
      </c>
      <c r="G15" s="8">
        <v>4</v>
      </c>
      <c r="H15" s="8" t="s">
        <v>816</v>
      </c>
      <c r="I15" s="8">
        <v>48</v>
      </c>
      <c r="J15" s="8">
        <v>192</v>
      </c>
      <c r="K15" s="8" t="s">
        <v>817</v>
      </c>
      <c r="L15" s="8">
        <v>350</v>
      </c>
      <c r="M15" s="8" t="s">
        <v>318</v>
      </c>
      <c r="N15" s="8" t="s">
        <v>461</v>
      </c>
      <c r="O15" s="8" t="s">
        <v>818</v>
      </c>
      <c r="P15" s="8" t="s">
        <v>751</v>
      </c>
      <c r="Q15" s="8" t="s">
        <v>819</v>
      </c>
      <c r="R15" s="8" t="s">
        <v>820</v>
      </c>
      <c r="S15" s="8" t="s">
        <v>41</v>
      </c>
      <c r="T15" s="8" t="s">
        <v>821</v>
      </c>
      <c r="U15" s="8" t="s">
        <v>822</v>
      </c>
      <c r="V15" s="8" t="s">
        <v>823</v>
      </c>
      <c r="W15" s="8">
        <v>1</v>
      </c>
      <c r="X15" s="8">
        <v>4</v>
      </c>
      <c r="Y15" s="8">
        <v>4</v>
      </c>
      <c r="Z15" s="21">
        <v>35000</v>
      </c>
      <c r="AA15" s="21">
        <v>9000</v>
      </c>
      <c r="AB15" s="13">
        <f t="shared" ref="AB15:AB28" si="0">Z15+G15*AA15</f>
        <v>71000</v>
      </c>
      <c r="AC15" s="8" t="s">
        <v>36</v>
      </c>
    </row>
    <row r="16" spans="1:30" x14ac:dyDescent="0.35">
      <c r="A16" s="8" t="s">
        <v>486</v>
      </c>
      <c r="B16" s="8" t="s">
        <v>731</v>
      </c>
      <c r="C16" s="8" t="s">
        <v>460</v>
      </c>
      <c r="D16" s="8" t="s">
        <v>442</v>
      </c>
      <c r="E16" s="8" t="s">
        <v>485</v>
      </c>
      <c r="F16" s="8" t="s">
        <v>815</v>
      </c>
      <c r="G16" s="8">
        <v>4</v>
      </c>
      <c r="H16" s="8" t="s">
        <v>824</v>
      </c>
      <c r="I16" s="8">
        <v>80</v>
      </c>
      <c r="J16" s="8">
        <v>320</v>
      </c>
      <c r="K16" s="8" t="s">
        <v>825</v>
      </c>
      <c r="L16" s="8">
        <v>350</v>
      </c>
      <c r="M16" s="8" t="s">
        <v>826</v>
      </c>
      <c r="N16" s="8" t="s">
        <v>461</v>
      </c>
      <c r="O16" s="8" t="s">
        <v>818</v>
      </c>
      <c r="P16" s="8" t="s">
        <v>751</v>
      </c>
      <c r="Q16" s="8" t="s">
        <v>819</v>
      </c>
      <c r="R16" s="8" t="s">
        <v>827</v>
      </c>
      <c r="S16" s="8" t="s">
        <v>41</v>
      </c>
      <c r="T16" s="8" t="s">
        <v>828</v>
      </c>
      <c r="U16" s="8" t="s">
        <v>829</v>
      </c>
      <c r="V16" s="8" t="s">
        <v>830</v>
      </c>
      <c r="W16" s="8">
        <v>1</v>
      </c>
      <c r="X16" s="8">
        <v>2</v>
      </c>
      <c r="Y16" s="8">
        <v>4</v>
      </c>
      <c r="Z16" s="21">
        <v>35000</v>
      </c>
      <c r="AA16" s="21">
        <v>30000</v>
      </c>
      <c r="AB16" s="13">
        <f t="shared" si="0"/>
        <v>155000</v>
      </c>
      <c r="AC16" s="8" t="s">
        <v>36</v>
      </c>
    </row>
    <row r="17" spans="1:29" x14ac:dyDescent="0.35">
      <c r="A17" s="8" t="s">
        <v>496</v>
      </c>
      <c r="B17" s="8" t="s">
        <v>744</v>
      </c>
      <c r="C17" s="8" t="s">
        <v>497</v>
      </c>
      <c r="D17" s="8" t="s">
        <v>442</v>
      </c>
      <c r="E17" s="8" t="s">
        <v>495</v>
      </c>
      <c r="F17" s="8" t="s">
        <v>831</v>
      </c>
      <c r="G17" s="8">
        <v>4</v>
      </c>
      <c r="H17" s="8" t="s">
        <v>832</v>
      </c>
      <c r="I17" s="8">
        <v>80</v>
      </c>
      <c r="J17" s="8">
        <v>320</v>
      </c>
      <c r="K17" s="8" t="s">
        <v>833</v>
      </c>
      <c r="L17" s="8">
        <v>700</v>
      </c>
      <c r="M17" s="8" t="s">
        <v>834</v>
      </c>
      <c r="N17" s="8" t="s">
        <v>461</v>
      </c>
      <c r="O17" s="8" t="s">
        <v>818</v>
      </c>
      <c r="P17" s="8" t="s">
        <v>751</v>
      </c>
      <c r="Q17" s="8" t="s">
        <v>819</v>
      </c>
      <c r="R17" s="8" t="s">
        <v>835</v>
      </c>
      <c r="S17" s="8" t="s">
        <v>41</v>
      </c>
      <c r="T17" s="8" t="s">
        <v>836</v>
      </c>
      <c r="U17" s="8" t="s">
        <v>837</v>
      </c>
      <c r="V17" s="8" t="s">
        <v>838</v>
      </c>
      <c r="W17" s="8">
        <v>4</v>
      </c>
      <c r="X17" s="8">
        <v>4</v>
      </c>
      <c r="Y17" s="8">
        <v>4</v>
      </c>
      <c r="Z17" s="21">
        <v>60000</v>
      </c>
      <c r="AA17" s="21">
        <v>30000</v>
      </c>
      <c r="AB17" s="13">
        <f t="shared" si="0"/>
        <v>180000</v>
      </c>
      <c r="AC17" s="8" t="s">
        <v>455</v>
      </c>
    </row>
    <row r="18" spans="1:29" x14ac:dyDescent="0.35">
      <c r="A18" s="8" t="s">
        <v>839</v>
      </c>
      <c r="B18" s="8" t="s">
        <v>752</v>
      </c>
      <c r="C18" s="8" t="s">
        <v>508</v>
      </c>
      <c r="D18" s="8" t="s">
        <v>442</v>
      </c>
      <c r="E18" s="8" t="s">
        <v>495</v>
      </c>
      <c r="F18" s="8" t="s">
        <v>831</v>
      </c>
      <c r="G18" s="8">
        <v>8</v>
      </c>
      <c r="H18" s="8" t="s">
        <v>840</v>
      </c>
      <c r="I18" s="8">
        <v>80</v>
      </c>
      <c r="J18" s="8">
        <v>640</v>
      </c>
      <c r="K18" s="8" t="s">
        <v>841</v>
      </c>
      <c r="L18" s="8">
        <v>700</v>
      </c>
      <c r="M18" s="8" t="s">
        <v>758</v>
      </c>
      <c r="N18" s="8" t="s">
        <v>461</v>
      </c>
      <c r="O18" s="8" t="s">
        <v>842</v>
      </c>
      <c r="P18" s="8" t="s">
        <v>759</v>
      </c>
      <c r="Q18" s="8" t="s">
        <v>843</v>
      </c>
      <c r="R18" s="8" t="s">
        <v>844</v>
      </c>
      <c r="S18" s="8" t="s">
        <v>41</v>
      </c>
      <c r="T18" s="8" t="s">
        <v>836</v>
      </c>
      <c r="U18" s="8" t="s">
        <v>836</v>
      </c>
      <c r="V18" s="8" t="s">
        <v>845</v>
      </c>
      <c r="W18" s="8">
        <v>8</v>
      </c>
      <c r="X18" s="8">
        <v>8</v>
      </c>
      <c r="Y18" s="8">
        <v>8</v>
      </c>
      <c r="Z18" s="21">
        <v>90000</v>
      </c>
      <c r="AA18" s="21">
        <v>30000</v>
      </c>
      <c r="AB18" s="13">
        <f t="shared" si="0"/>
        <v>330000</v>
      </c>
      <c r="AC18" s="8" t="s">
        <v>455</v>
      </c>
    </row>
    <row r="19" spans="1:29" x14ac:dyDescent="0.35">
      <c r="A19" s="8" t="s">
        <v>507</v>
      </c>
      <c r="B19" s="8" t="s">
        <v>752</v>
      </c>
      <c r="C19" s="8" t="s">
        <v>508</v>
      </c>
      <c r="D19" s="8" t="s">
        <v>442</v>
      </c>
      <c r="E19" s="8" t="s">
        <v>506</v>
      </c>
      <c r="F19" s="8" t="s">
        <v>831</v>
      </c>
      <c r="G19" s="8">
        <v>8</v>
      </c>
      <c r="H19" s="8" t="s">
        <v>840</v>
      </c>
      <c r="I19" s="8">
        <v>141</v>
      </c>
      <c r="J19" s="8">
        <v>1128</v>
      </c>
      <c r="K19" s="8" t="s">
        <v>841</v>
      </c>
      <c r="L19" s="8">
        <v>700</v>
      </c>
      <c r="M19" s="8" t="s">
        <v>846</v>
      </c>
      <c r="N19" s="8" t="s">
        <v>461</v>
      </c>
      <c r="O19" s="8" t="s">
        <v>842</v>
      </c>
      <c r="P19" s="8" t="s">
        <v>759</v>
      </c>
      <c r="Q19" s="8" t="s">
        <v>843</v>
      </c>
      <c r="R19" s="8" t="s">
        <v>844</v>
      </c>
      <c r="S19" s="8" t="s">
        <v>41</v>
      </c>
      <c r="T19" s="8" t="s">
        <v>836</v>
      </c>
      <c r="U19" s="8" t="s">
        <v>836</v>
      </c>
      <c r="V19" s="8" t="s">
        <v>847</v>
      </c>
      <c r="W19" s="8">
        <v>8</v>
      </c>
      <c r="X19" s="8">
        <v>8</v>
      </c>
      <c r="Y19" s="8">
        <v>8</v>
      </c>
      <c r="Z19" s="21">
        <v>90000</v>
      </c>
      <c r="AA19" s="21">
        <v>40000</v>
      </c>
      <c r="AB19" s="13">
        <f t="shared" si="0"/>
        <v>410000</v>
      </c>
      <c r="AC19" s="8" t="s">
        <v>455</v>
      </c>
    </row>
    <row r="20" spans="1:29" x14ac:dyDescent="0.35">
      <c r="A20" s="8" t="s">
        <v>522</v>
      </c>
      <c r="B20" s="8" t="s">
        <v>752</v>
      </c>
      <c r="C20" s="8" t="s">
        <v>508</v>
      </c>
      <c r="D20" s="8" t="s">
        <v>520</v>
      </c>
      <c r="E20" s="8" t="s">
        <v>848</v>
      </c>
      <c r="F20" s="8" t="s">
        <v>849</v>
      </c>
      <c r="G20" s="8">
        <v>8</v>
      </c>
      <c r="H20" s="8" t="s">
        <v>850</v>
      </c>
      <c r="I20" s="8">
        <v>192</v>
      </c>
      <c r="J20" s="8">
        <v>1536</v>
      </c>
      <c r="K20" s="8" t="s">
        <v>851</v>
      </c>
      <c r="L20" s="8">
        <v>750</v>
      </c>
      <c r="M20" s="8" t="s">
        <v>852</v>
      </c>
      <c r="N20" s="8" t="s">
        <v>461</v>
      </c>
      <c r="O20" s="8" t="s">
        <v>842</v>
      </c>
      <c r="P20" s="8" t="s">
        <v>759</v>
      </c>
      <c r="Q20" s="8" t="s">
        <v>843</v>
      </c>
      <c r="R20" s="8" t="s">
        <v>844</v>
      </c>
      <c r="S20" s="8" t="s">
        <v>41</v>
      </c>
      <c r="T20" s="8" t="s">
        <v>836</v>
      </c>
      <c r="U20" s="8" t="s">
        <v>836</v>
      </c>
      <c r="V20" s="8" t="s">
        <v>853</v>
      </c>
      <c r="W20" s="8">
        <v>8</v>
      </c>
      <c r="X20" s="8">
        <v>8</v>
      </c>
      <c r="Y20" s="8">
        <v>8</v>
      </c>
      <c r="Z20" s="21">
        <v>90000</v>
      </c>
      <c r="AA20" s="21">
        <v>18000</v>
      </c>
      <c r="AB20" s="13">
        <f t="shared" si="0"/>
        <v>234000</v>
      </c>
      <c r="AC20" s="8" t="s">
        <v>455</v>
      </c>
    </row>
    <row r="21" spans="1:29" x14ac:dyDescent="0.35">
      <c r="A21" s="8" t="s">
        <v>854</v>
      </c>
      <c r="B21" s="8" t="s">
        <v>752</v>
      </c>
      <c r="C21" s="8" t="s">
        <v>508</v>
      </c>
      <c r="D21" s="8" t="s">
        <v>855</v>
      </c>
      <c r="E21" s="8" t="s">
        <v>856</v>
      </c>
      <c r="F21" s="8" t="s">
        <v>849</v>
      </c>
      <c r="G21" s="8">
        <v>8</v>
      </c>
      <c r="H21" s="8" t="s">
        <v>850</v>
      </c>
      <c r="I21" s="8">
        <v>128</v>
      </c>
      <c r="J21" s="8">
        <v>1024</v>
      </c>
      <c r="K21" s="8" t="s">
        <v>857</v>
      </c>
      <c r="L21" s="8">
        <v>900</v>
      </c>
      <c r="M21" s="8" t="s">
        <v>858</v>
      </c>
      <c r="N21" s="8" t="s">
        <v>461</v>
      </c>
      <c r="O21" s="8" t="s">
        <v>842</v>
      </c>
      <c r="P21" s="8" t="s">
        <v>759</v>
      </c>
      <c r="Q21" s="8" t="s">
        <v>843</v>
      </c>
      <c r="R21" s="8" t="s">
        <v>859</v>
      </c>
      <c r="S21" s="8" t="s">
        <v>36</v>
      </c>
      <c r="T21" s="8" t="s">
        <v>836</v>
      </c>
      <c r="U21" s="8" t="s">
        <v>836</v>
      </c>
      <c r="V21" s="8" t="s">
        <v>860</v>
      </c>
      <c r="W21" s="8">
        <v>8</v>
      </c>
      <c r="X21" s="8">
        <v>8</v>
      </c>
      <c r="Y21" s="8">
        <v>8</v>
      </c>
      <c r="Z21" s="21">
        <v>90000</v>
      </c>
      <c r="AA21" s="21">
        <v>25000</v>
      </c>
      <c r="AB21" s="13">
        <f t="shared" si="0"/>
        <v>290000</v>
      </c>
      <c r="AC21" s="8" t="s">
        <v>455</v>
      </c>
    </row>
    <row r="22" spans="1:29" x14ac:dyDescent="0.35">
      <c r="A22" s="8" t="s">
        <v>550</v>
      </c>
      <c r="B22" s="8" t="s">
        <v>760</v>
      </c>
      <c r="C22" s="8" t="s">
        <v>445</v>
      </c>
      <c r="D22" s="8" t="s">
        <v>442</v>
      </c>
      <c r="E22" s="8" t="s">
        <v>861</v>
      </c>
      <c r="F22" s="8" t="s">
        <v>815</v>
      </c>
      <c r="G22" s="8">
        <v>8</v>
      </c>
      <c r="H22" s="8" t="s">
        <v>862</v>
      </c>
      <c r="I22" s="8">
        <v>96</v>
      </c>
      <c r="J22" s="8">
        <v>768</v>
      </c>
      <c r="K22" s="8" t="s">
        <v>863</v>
      </c>
      <c r="L22" s="8">
        <v>600</v>
      </c>
      <c r="M22" s="8" t="s">
        <v>864</v>
      </c>
      <c r="N22" s="8" t="s">
        <v>446</v>
      </c>
      <c r="O22" s="8" t="s">
        <v>865</v>
      </c>
      <c r="P22" s="8" t="s">
        <v>866</v>
      </c>
      <c r="Q22" s="8" t="s">
        <v>867</v>
      </c>
      <c r="R22" s="8" t="s">
        <v>868</v>
      </c>
      <c r="S22" s="8" t="s">
        <v>41</v>
      </c>
      <c r="T22" s="8" t="s">
        <v>869</v>
      </c>
      <c r="U22" s="8" t="s">
        <v>870</v>
      </c>
      <c r="V22" s="8" t="s">
        <v>871</v>
      </c>
      <c r="W22" s="8">
        <v>1</v>
      </c>
      <c r="X22" s="8">
        <v>4</v>
      </c>
      <c r="Y22" s="8">
        <v>8</v>
      </c>
      <c r="Z22" s="21">
        <v>55000</v>
      </c>
      <c r="AA22" s="21">
        <v>16000</v>
      </c>
      <c r="AB22" s="13">
        <f t="shared" si="0"/>
        <v>183000</v>
      </c>
      <c r="AC22" s="8" t="s">
        <v>36</v>
      </c>
    </row>
    <row r="23" spans="1:29" x14ac:dyDescent="0.35">
      <c r="A23" s="8" t="s">
        <v>536</v>
      </c>
      <c r="B23" s="8" t="s">
        <v>760</v>
      </c>
      <c r="C23" s="8" t="s">
        <v>445</v>
      </c>
      <c r="D23" s="8" t="s">
        <v>442</v>
      </c>
      <c r="E23" s="8" t="s">
        <v>535</v>
      </c>
      <c r="F23" s="8" t="s">
        <v>815</v>
      </c>
      <c r="G23" s="8">
        <v>8</v>
      </c>
      <c r="H23" s="8" t="s">
        <v>872</v>
      </c>
      <c r="I23" s="8" t="s">
        <v>873</v>
      </c>
      <c r="J23" s="8">
        <v>1128</v>
      </c>
      <c r="K23" s="8" t="s">
        <v>874</v>
      </c>
      <c r="L23" s="8">
        <v>600</v>
      </c>
      <c r="M23" s="8" t="s">
        <v>875</v>
      </c>
      <c r="N23" s="8" t="s">
        <v>876</v>
      </c>
      <c r="O23" s="8" t="s">
        <v>877</v>
      </c>
      <c r="P23" s="8" t="s">
        <v>878</v>
      </c>
      <c r="Q23" s="8" t="s">
        <v>879</v>
      </c>
      <c r="R23" s="8" t="s">
        <v>880</v>
      </c>
      <c r="S23" s="8" t="s">
        <v>36</v>
      </c>
      <c r="T23" s="8" t="s">
        <v>881</v>
      </c>
      <c r="U23" s="8" t="s">
        <v>882</v>
      </c>
      <c r="V23" s="8" t="s">
        <v>883</v>
      </c>
      <c r="W23" s="8">
        <v>1</v>
      </c>
      <c r="X23" s="8">
        <v>4</v>
      </c>
      <c r="Y23" s="8">
        <v>8</v>
      </c>
      <c r="Z23" s="21">
        <v>55000</v>
      </c>
      <c r="AA23" s="21">
        <v>40000</v>
      </c>
      <c r="AB23" s="13">
        <f t="shared" si="0"/>
        <v>375000</v>
      </c>
      <c r="AC23" s="8" t="s">
        <v>455</v>
      </c>
    </row>
    <row r="24" spans="1:29" x14ac:dyDescent="0.35">
      <c r="A24" s="8" t="s">
        <v>444</v>
      </c>
      <c r="B24" s="8" t="s">
        <v>760</v>
      </c>
      <c r="C24" s="8" t="s">
        <v>445</v>
      </c>
      <c r="D24" s="8" t="s">
        <v>442</v>
      </c>
      <c r="E24" s="8" t="s">
        <v>884</v>
      </c>
      <c r="F24" s="8" t="s">
        <v>885</v>
      </c>
      <c r="G24" s="8">
        <v>16</v>
      </c>
      <c r="H24" s="8" t="s">
        <v>886</v>
      </c>
      <c r="I24" s="8">
        <v>24</v>
      </c>
      <c r="J24" s="8">
        <v>384</v>
      </c>
      <c r="K24" s="8" t="s">
        <v>887</v>
      </c>
      <c r="L24" s="8">
        <v>72</v>
      </c>
      <c r="M24" s="8" t="s">
        <v>888</v>
      </c>
      <c r="N24" s="8" t="s">
        <v>446</v>
      </c>
      <c r="O24" s="8" t="s">
        <v>865</v>
      </c>
      <c r="P24" s="8" t="s">
        <v>866</v>
      </c>
      <c r="Q24" s="8" t="s">
        <v>867</v>
      </c>
      <c r="R24" s="8" t="s">
        <v>889</v>
      </c>
      <c r="S24" s="8" t="s">
        <v>41</v>
      </c>
      <c r="T24" s="8" t="s">
        <v>890</v>
      </c>
      <c r="U24" s="8" t="s">
        <v>891</v>
      </c>
      <c r="V24" s="8" t="s">
        <v>892</v>
      </c>
      <c r="W24" s="8">
        <v>1</v>
      </c>
      <c r="X24" s="8">
        <v>8</v>
      </c>
      <c r="Y24" s="8">
        <v>16</v>
      </c>
      <c r="Z24" s="21">
        <v>55000</v>
      </c>
      <c r="AA24" s="21">
        <v>3600</v>
      </c>
      <c r="AB24" s="13">
        <f t="shared" si="0"/>
        <v>112600</v>
      </c>
      <c r="AC24" s="8" t="s">
        <v>36</v>
      </c>
    </row>
    <row r="25" spans="1:29" x14ac:dyDescent="0.35">
      <c r="A25" s="8" t="s">
        <v>559</v>
      </c>
      <c r="B25" s="8" t="s">
        <v>778</v>
      </c>
      <c r="C25" s="8" t="s">
        <v>560</v>
      </c>
      <c r="D25" s="8" t="s">
        <v>442</v>
      </c>
      <c r="E25" s="8" t="s">
        <v>893</v>
      </c>
      <c r="F25" s="8" t="s">
        <v>894</v>
      </c>
      <c r="G25" s="8">
        <v>8</v>
      </c>
      <c r="H25" s="8" t="s">
        <v>840</v>
      </c>
      <c r="I25" s="8">
        <v>180</v>
      </c>
      <c r="J25" s="8">
        <v>1440</v>
      </c>
      <c r="K25" s="8" t="s">
        <v>841</v>
      </c>
      <c r="L25" s="8">
        <v>1000</v>
      </c>
      <c r="M25" s="8" t="s">
        <v>895</v>
      </c>
      <c r="N25" s="8" t="s">
        <v>461</v>
      </c>
      <c r="O25" s="8" t="s">
        <v>842</v>
      </c>
      <c r="P25" s="8" t="s">
        <v>564</v>
      </c>
      <c r="Q25" s="8" t="s">
        <v>843</v>
      </c>
      <c r="R25" s="8" t="s">
        <v>844</v>
      </c>
      <c r="S25" s="8" t="s">
        <v>41</v>
      </c>
      <c r="T25" s="8" t="s">
        <v>836</v>
      </c>
      <c r="U25" s="8" t="s">
        <v>836</v>
      </c>
      <c r="V25" s="8" t="s">
        <v>896</v>
      </c>
      <c r="W25" s="8">
        <v>8</v>
      </c>
      <c r="X25" s="8">
        <v>8</v>
      </c>
      <c r="Y25" s="8">
        <v>8</v>
      </c>
      <c r="Z25" s="21">
        <v>100000</v>
      </c>
      <c r="AA25" s="21">
        <v>50000</v>
      </c>
      <c r="AB25" s="13">
        <f t="shared" si="0"/>
        <v>500000</v>
      </c>
      <c r="AC25" s="8" t="s">
        <v>455</v>
      </c>
    </row>
    <row r="26" spans="1:29" x14ac:dyDescent="0.35">
      <c r="A26" s="8" t="s">
        <v>897</v>
      </c>
      <c r="B26" s="8" t="s">
        <v>778</v>
      </c>
      <c r="C26" s="8" t="s">
        <v>560</v>
      </c>
      <c r="D26" s="8" t="s">
        <v>442</v>
      </c>
      <c r="E26" s="8" t="s">
        <v>898</v>
      </c>
      <c r="F26" s="8" t="s">
        <v>894</v>
      </c>
      <c r="G26" s="8">
        <v>8</v>
      </c>
      <c r="H26" s="8" t="s">
        <v>899</v>
      </c>
      <c r="I26" s="8">
        <v>270</v>
      </c>
      <c r="J26" s="8">
        <v>2160</v>
      </c>
      <c r="K26" s="8" t="s">
        <v>841</v>
      </c>
      <c r="L26" s="8">
        <v>1100</v>
      </c>
      <c r="M26" s="8" t="s">
        <v>895</v>
      </c>
      <c r="N26" s="8" t="s">
        <v>461</v>
      </c>
      <c r="O26" s="8" t="s">
        <v>842</v>
      </c>
      <c r="P26" s="8" t="s">
        <v>564</v>
      </c>
      <c r="Q26" s="8" t="s">
        <v>843</v>
      </c>
      <c r="R26" s="8" t="s">
        <v>844</v>
      </c>
      <c r="S26" s="8" t="s">
        <v>41</v>
      </c>
      <c r="T26" s="8" t="s">
        <v>836</v>
      </c>
      <c r="U26" s="8" t="s">
        <v>836</v>
      </c>
      <c r="V26" s="8" t="s">
        <v>900</v>
      </c>
      <c r="W26" s="8">
        <v>8</v>
      </c>
      <c r="X26" s="8">
        <v>8</v>
      </c>
      <c r="Y26" s="8">
        <v>8</v>
      </c>
      <c r="Z26" s="21">
        <v>110000</v>
      </c>
      <c r="AA26" s="21">
        <v>50000</v>
      </c>
      <c r="AB26" s="13">
        <f t="shared" si="0"/>
        <v>510000</v>
      </c>
      <c r="AC26" s="8" t="s">
        <v>455</v>
      </c>
    </row>
    <row r="27" spans="1:29" x14ac:dyDescent="0.35">
      <c r="A27" s="8" t="s">
        <v>570</v>
      </c>
      <c r="B27" s="8" t="s">
        <v>785</v>
      </c>
      <c r="C27" s="8" t="s">
        <v>571</v>
      </c>
      <c r="D27" s="8" t="s">
        <v>520</v>
      </c>
      <c r="E27" s="8" t="s">
        <v>901</v>
      </c>
      <c r="F27" s="8" t="s">
        <v>849</v>
      </c>
      <c r="G27" s="8">
        <v>8</v>
      </c>
      <c r="H27" s="8" t="s">
        <v>850</v>
      </c>
      <c r="I27" s="8">
        <v>288</v>
      </c>
      <c r="J27" s="8">
        <v>2304</v>
      </c>
      <c r="K27" s="8" t="s">
        <v>851</v>
      </c>
      <c r="L27" s="8">
        <v>1400</v>
      </c>
      <c r="M27" s="8" t="s">
        <v>895</v>
      </c>
      <c r="N27" s="8" t="s">
        <v>461</v>
      </c>
      <c r="O27" s="8" t="s">
        <v>842</v>
      </c>
      <c r="P27" s="8" t="s">
        <v>574</v>
      </c>
      <c r="Q27" s="8" t="s">
        <v>843</v>
      </c>
      <c r="R27" s="8" t="s">
        <v>844</v>
      </c>
      <c r="S27" s="8" t="s">
        <v>41</v>
      </c>
      <c r="T27" s="8" t="s">
        <v>836</v>
      </c>
      <c r="U27" s="8" t="s">
        <v>836</v>
      </c>
      <c r="V27" s="8" t="s">
        <v>902</v>
      </c>
      <c r="W27" s="8">
        <v>8</v>
      </c>
      <c r="X27" s="8">
        <v>8</v>
      </c>
      <c r="Y27" s="8">
        <v>8</v>
      </c>
      <c r="Z27" s="21">
        <v>110000</v>
      </c>
      <c r="AA27" s="21">
        <v>60000</v>
      </c>
      <c r="AB27" s="13">
        <f t="shared" si="0"/>
        <v>590000</v>
      </c>
      <c r="AC27" s="8" t="s">
        <v>455</v>
      </c>
    </row>
    <row r="28" spans="1:29" x14ac:dyDescent="0.35">
      <c r="A28" s="8" t="s">
        <v>903</v>
      </c>
      <c r="B28" s="8" t="s">
        <v>785</v>
      </c>
      <c r="C28" s="8" t="s">
        <v>571</v>
      </c>
      <c r="D28" s="8" t="s">
        <v>442</v>
      </c>
      <c r="E28" s="8" t="s">
        <v>898</v>
      </c>
      <c r="F28" s="8" t="s">
        <v>894</v>
      </c>
      <c r="G28" s="8">
        <v>8</v>
      </c>
      <c r="H28" s="8" t="s">
        <v>899</v>
      </c>
      <c r="I28" s="8">
        <v>270</v>
      </c>
      <c r="J28" s="8">
        <v>2160</v>
      </c>
      <c r="K28" s="8" t="s">
        <v>841</v>
      </c>
      <c r="L28" s="8">
        <v>1100</v>
      </c>
      <c r="M28" s="8" t="s">
        <v>895</v>
      </c>
      <c r="N28" s="8" t="s">
        <v>461</v>
      </c>
      <c r="O28" s="8" t="s">
        <v>842</v>
      </c>
      <c r="P28" s="8" t="s">
        <v>574</v>
      </c>
      <c r="Q28" s="8" t="s">
        <v>843</v>
      </c>
      <c r="R28" s="8" t="s">
        <v>844</v>
      </c>
      <c r="S28" s="8" t="s">
        <v>41</v>
      </c>
      <c r="T28" s="8" t="s">
        <v>836</v>
      </c>
      <c r="U28" s="8" t="s">
        <v>836</v>
      </c>
      <c r="V28" s="8" t="s">
        <v>900</v>
      </c>
      <c r="W28" s="8">
        <v>8</v>
      </c>
      <c r="X28" s="8">
        <v>8</v>
      </c>
      <c r="Y28" s="8">
        <v>8</v>
      </c>
      <c r="Z28" s="21">
        <v>110000</v>
      </c>
      <c r="AA28" s="21">
        <v>50000</v>
      </c>
      <c r="AB28" s="13">
        <f t="shared" si="0"/>
        <v>510000</v>
      </c>
      <c r="AC28" s="8" t="s">
        <v>455</v>
      </c>
    </row>
    <row r="29" spans="1:29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x14ac:dyDescent="0.35">
      <c r="A31" s="22" t="s">
        <v>904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8"/>
      <c r="X31" s="8"/>
      <c r="Y31" s="8"/>
      <c r="Z31" s="8"/>
      <c r="AA31" s="8"/>
      <c r="AB31" s="8"/>
      <c r="AC31" s="8"/>
    </row>
    <row r="32" spans="1:29" x14ac:dyDescent="0.35">
      <c r="A32" s="9" t="s">
        <v>434</v>
      </c>
      <c r="B32" s="9" t="s">
        <v>154</v>
      </c>
      <c r="C32" s="9" t="s">
        <v>411</v>
      </c>
      <c r="D32" s="9" t="s">
        <v>418</v>
      </c>
      <c r="E32" s="9" t="s">
        <v>905</v>
      </c>
      <c r="F32" s="9" t="s">
        <v>906</v>
      </c>
      <c r="G32" s="9" t="s">
        <v>608</v>
      </c>
      <c r="H32" s="9" t="s">
        <v>907</v>
      </c>
      <c r="I32" s="9" t="s">
        <v>908</v>
      </c>
      <c r="J32" s="9" t="s">
        <v>909</v>
      </c>
      <c r="K32" s="9" t="s">
        <v>910</v>
      </c>
      <c r="L32" s="9" t="s">
        <v>911</v>
      </c>
      <c r="M32" s="9" t="s">
        <v>912</v>
      </c>
      <c r="N32" s="9" t="s">
        <v>913</v>
      </c>
      <c r="O32" s="9" t="s">
        <v>914</v>
      </c>
      <c r="P32" s="9" t="s">
        <v>915</v>
      </c>
      <c r="Q32" s="9" t="s">
        <v>916</v>
      </c>
      <c r="R32" s="9" t="s">
        <v>727</v>
      </c>
      <c r="S32" s="9" t="s">
        <v>917</v>
      </c>
      <c r="T32" s="9" t="s">
        <v>918</v>
      </c>
      <c r="U32" s="9" t="s">
        <v>281</v>
      </c>
      <c r="V32" s="9" t="s">
        <v>282</v>
      </c>
      <c r="W32" s="8"/>
      <c r="X32" s="8"/>
      <c r="Y32" s="8"/>
      <c r="Z32" s="8"/>
      <c r="AA32" s="8"/>
      <c r="AB32" s="8"/>
      <c r="AC32" s="8"/>
    </row>
    <row r="33" spans="1:29" x14ac:dyDescent="0.35">
      <c r="A33" s="8" t="s">
        <v>501</v>
      </c>
      <c r="B33" s="8" t="s">
        <v>217</v>
      </c>
      <c r="C33" s="8" t="s">
        <v>489</v>
      </c>
      <c r="D33" s="8" t="s">
        <v>495</v>
      </c>
      <c r="E33" s="8">
        <v>2</v>
      </c>
      <c r="F33" s="8">
        <v>5000</v>
      </c>
      <c r="G33" s="8">
        <v>500</v>
      </c>
      <c r="H33" s="8">
        <v>50</v>
      </c>
      <c r="I33" s="8">
        <v>834.51</v>
      </c>
      <c r="J33" s="8">
        <v>59.73</v>
      </c>
      <c r="K33" s="8">
        <v>814.37</v>
      </c>
      <c r="L33" s="13">
        <f t="shared" ref="L33:L39" si="1">K33/G33</f>
        <v>1.6287400000000001</v>
      </c>
      <c r="M33" s="13">
        <f t="shared" ref="M33:M39" si="2">L33/E33</f>
        <v>0.81437000000000004</v>
      </c>
      <c r="N33" s="13">
        <f t="shared" ref="N33:N39" si="3">H33/E33</f>
        <v>25</v>
      </c>
      <c r="O33" s="13">
        <f t="shared" ref="O33:O39" si="4">L33*F33/E33</f>
        <v>4071.8500000000004</v>
      </c>
      <c r="P33" s="8" t="s">
        <v>502</v>
      </c>
      <c r="Q33" s="8" t="s">
        <v>41</v>
      </c>
      <c r="R33" s="8" t="s">
        <v>919</v>
      </c>
      <c r="S33" s="8" t="s">
        <v>920</v>
      </c>
      <c r="T33" s="8" t="s">
        <v>921</v>
      </c>
      <c r="U33" s="8" t="s">
        <v>210</v>
      </c>
      <c r="V33" s="8" t="s">
        <v>922</v>
      </c>
      <c r="W33" s="8"/>
      <c r="X33" s="8"/>
      <c r="Y33" s="8"/>
      <c r="Z33" s="8"/>
      <c r="AA33" s="8"/>
      <c r="AB33" s="8"/>
      <c r="AC33" s="8"/>
    </row>
    <row r="34" spans="1:29" x14ac:dyDescent="0.35">
      <c r="A34" s="8" t="s">
        <v>923</v>
      </c>
      <c r="B34" s="8" t="s">
        <v>217</v>
      </c>
      <c r="C34" s="8" t="s">
        <v>489</v>
      </c>
      <c r="D34" s="8" t="s">
        <v>495</v>
      </c>
      <c r="E34" s="8">
        <v>2</v>
      </c>
      <c r="F34" s="8">
        <v>1000</v>
      </c>
      <c r="G34" s="8">
        <v>1000</v>
      </c>
      <c r="H34" s="8">
        <v>100</v>
      </c>
      <c r="I34" s="8">
        <v>334.23</v>
      </c>
      <c r="J34" s="8">
        <v>34.21</v>
      </c>
      <c r="K34" s="8">
        <v>2895.49</v>
      </c>
      <c r="L34" s="13">
        <f t="shared" si="1"/>
        <v>2.8954899999999997</v>
      </c>
      <c r="M34" s="13">
        <f t="shared" si="2"/>
        <v>1.4477449999999998</v>
      </c>
      <c r="N34" s="13">
        <f t="shared" si="3"/>
        <v>50</v>
      </c>
      <c r="O34" s="13">
        <f t="shared" si="4"/>
        <v>1447.7449999999999</v>
      </c>
      <c r="P34" s="8" t="s">
        <v>502</v>
      </c>
      <c r="Q34" s="8" t="s">
        <v>41</v>
      </c>
      <c r="R34" s="8" t="s">
        <v>919</v>
      </c>
      <c r="S34" s="8" t="s">
        <v>924</v>
      </c>
      <c r="T34" s="8" t="s">
        <v>921</v>
      </c>
      <c r="U34" s="8" t="s">
        <v>210</v>
      </c>
      <c r="V34" s="8" t="s">
        <v>922</v>
      </c>
      <c r="W34" s="8"/>
      <c r="X34" s="8"/>
      <c r="Y34" s="8"/>
      <c r="Z34" s="8"/>
      <c r="AA34" s="8"/>
      <c r="AB34" s="8"/>
      <c r="AC34" s="8"/>
    </row>
    <row r="35" spans="1:29" x14ac:dyDescent="0.35">
      <c r="A35" s="8" t="s">
        <v>465</v>
      </c>
      <c r="B35" s="8" t="s">
        <v>925</v>
      </c>
      <c r="C35" s="8" t="s">
        <v>474</v>
      </c>
      <c r="D35" s="8" t="s">
        <v>458</v>
      </c>
      <c r="E35" s="8">
        <v>1</v>
      </c>
      <c r="F35" s="8">
        <v>2000</v>
      </c>
      <c r="G35" s="8">
        <v>500</v>
      </c>
      <c r="H35" s="8">
        <v>32</v>
      </c>
      <c r="I35" s="8">
        <v>1000</v>
      </c>
      <c r="J35" s="8">
        <v>50</v>
      </c>
      <c r="K35" s="8">
        <v>500</v>
      </c>
      <c r="L35" s="13">
        <f t="shared" si="1"/>
        <v>1</v>
      </c>
      <c r="M35" s="13">
        <f t="shared" si="2"/>
        <v>1</v>
      </c>
      <c r="N35" s="13">
        <f t="shared" si="3"/>
        <v>32</v>
      </c>
      <c r="O35" s="13">
        <f t="shared" si="4"/>
        <v>2000</v>
      </c>
      <c r="P35" s="8" t="s">
        <v>454</v>
      </c>
      <c r="Q35" s="8" t="s">
        <v>455</v>
      </c>
      <c r="R35" s="8" t="s">
        <v>926</v>
      </c>
      <c r="S35" s="8" t="s">
        <v>927</v>
      </c>
      <c r="T35" s="8" t="s">
        <v>928</v>
      </c>
      <c r="U35" s="8" t="s">
        <v>210</v>
      </c>
      <c r="V35" s="8" t="s">
        <v>929</v>
      </c>
      <c r="W35" s="8"/>
      <c r="X35" s="8"/>
      <c r="Y35" s="8"/>
      <c r="Z35" s="8"/>
      <c r="AA35" s="8"/>
      <c r="AB35" s="8"/>
      <c r="AC35" s="8"/>
    </row>
    <row r="36" spans="1:29" x14ac:dyDescent="0.35">
      <c r="A36" s="8" t="s">
        <v>453</v>
      </c>
      <c r="B36" s="8" t="s">
        <v>925</v>
      </c>
      <c r="C36" s="8" t="s">
        <v>930</v>
      </c>
      <c r="D36" s="8" t="s">
        <v>443</v>
      </c>
      <c r="E36" s="8">
        <v>1</v>
      </c>
      <c r="F36" s="8">
        <v>1000</v>
      </c>
      <c r="G36" s="8">
        <v>200</v>
      </c>
      <c r="H36" s="8">
        <v>16</v>
      </c>
      <c r="I36" s="8">
        <v>1200</v>
      </c>
      <c r="J36" s="8">
        <v>75</v>
      </c>
      <c r="K36" s="8">
        <v>180</v>
      </c>
      <c r="L36" s="13">
        <f t="shared" si="1"/>
        <v>0.9</v>
      </c>
      <c r="M36" s="13">
        <f t="shared" si="2"/>
        <v>0.9</v>
      </c>
      <c r="N36" s="13">
        <f t="shared" si="3"/>
        <v>16</v>
      </c>
      <c r="O36" s="13">
        <f t="shared" si="4"/>
        <v>900</v>
      </c>
      <c r="P36" s="8" t="s">
        <v>454</v>
      </c>
      <c r="Q36" s="8" t="s">
        <v>455</v>
      </c>
      <c r="R36" s="8" t="s">
        <v>931</v>
      </c>
      <c r="S36" s="8" t="s">
        <v>927</v>
      </c>
      <c r="T36" s="8" t="s">
        <v>928</v>
      </c>
      <c r="U36" s="8" t="s">
        <v>210</v>
      </c>
      <c r="V36" s="8" t="s">
        <v>929</v>
      </c>
      <c r="W36" s="8"/>
      <c r="X36" s="8"/>
      <c r="Y36" s="8"/>
      <c r="Z36" s="8"/>
      <c r="AA36" s="8"/>
      <c r="AB36" s="8"/>
      <c r="AC36" s="8"/>
    </row>
    <row r="37" spans="1:29" x14ac:dyDescent="0.35">
      <c r="A37" s="8" t="s">
        <v>512</v>
      </c>
      <c r="B37" s="8" t="s">
        <v>925</v>
      </c>
      <c r="C37" s="8" t="s">
        <v>474</v>
      </c>
      <c r="D37" s="8" t="s">
        <v>535</v>
      </c>
      <c r="E37" s="8">
        <v>1</v>
      </c>
      <c r="F37" s="8">
        <v>16000</v>
      </c>
      <c r="G37" s="8">
        <v>1000</v>
      </c>
      <c r="H37" s="8">
        <v>32</v>
      </c>
      <c r="I37" s="8">
        <v>1500</v>
      </c>
      <c r="J37" s="8">
        <v>40</v>
      </c>
      <c r="K37" s="8">
        <v>800</v>
      </c>
      <c r="L37" s="13">
        <f t="shared" si="1"/>
        <v>0.8</v>
      </c>
      <c r="M37" s="13">
        <f t="shared" si="2"/>
        <v>0.8</v>
      </c>
      <c r="N37" s="13">
        <f t="shared" si="3"/>
        <v>32</v>
      </c>
      <c r="O37" s="13">
        <f t="shared" si="4"/>
        <v>12800</v>
      </c>
      <c r="P37" s="8" t="s">
        <v>454</v>
      </c>
      <c r="Q37" s="8" t="s">
        <v>455</v>
      </c>
      <c r="R37" s="8" t="s">
        <v>932</v>
      </c>
      <c r="S37" s="8" t="s">
        <v>927</v>
      </c>
      <c r="T37" s="8" t="s">
        <v>928</v>
      </c>
      <c r="U37" s="8" t="s">
        <v>210</v>
      </c>
      <c r="V37" s="8" t="s">
        <v>929</v>
      </c>
      <c r="W37" s="8"/>
      <c r="X37" s="8"/>
      <c r="Y37" s="8"/>
      <c r="Z37" s="8"/>
      <c r="AA37" s="8"/>
      <c r="AB37" s="8"/>
      <c r="AC37" s="8"/>
    </row>
    <row r="38" spans="1:29" x14ac:dyDescent="0.35">
      <c r="A38" s="8" t="s">
        <v>554</v>
      </c>
      <c r="B38" s="8" t="s">
        <v>925</v>
      </c>
      <c r="C38" s="8" t="s">
        <v>474</v>
      </c>
      <c r="D38" s="8" t="s">
        <v>549</v>
      </c>
      <c r="E38" s="8">
        <v>1</v>
      </c>
      <c r="F38" s="8">
        <v>4000</v>
      </c>
      <c r="G38" s="8">
        <v>500</v>
      </c>
      <c r="H38" s="8">
        <v>32</v>
      </c>
      <c r="I38" s="8">
        <v>1000</v>
      </c>
      <c r="J38" s="8">
        <v>45</v>
      </c>
      <c r="K38" s="8">
        <v>600</v>
      </c>
      <c r="L38" s="13">
        <f t="shared" si="1"/>
        <v>1.2</v>
      </c>
      <c r="M38" s="13">
        <f t="shared" si="2"/>
        <v>1.2</v>
      </c>
      <c r="N38" s="13">
        <f t="shared" si="3"/>
        <v>32</v>
      </c>
      <c r="O38" s="13">
        <f t="shared" si="4"/>
        <v>4800</v>
      </c>
      <c r="P38" s="8" t="s">
        <v>454</v>
      </c>
      <c r="Q38" s="8" t="s">
        <v>455</v>
      </c>
      <c r="R38" s="8" t="s">
        <v>933</v>
      </c>
      <c r="S38" s="8" t="s">
        <v>927</v>
      </c>
      <c r="T38" s="8" t="s">
        <v>928</v>
      </c>
      <c r="U38" s="8" t="s">
        <v>210</v>
      </c>
      <c r="V38" s="8" t="s">
        <v>929</v>
      </c>
      <c r="W38" s="8"/>
      <c r="X38" s="8"/>
      <c r="Y38" s="8"/>
      <c r="Z38" s="8"/>
      <c r="AA38" s="8"/>
      <c r="AB38" s="8"/>
      <c r="AC38" s="8"/>
    </row>
    <row r="39" spans="1:29" x14ac:dyDescent="0.35">
      <c r="A39" s="8" t="s">
        <v>566</v>
      </c>
      <c r="B39" s="8" t="s">
        <v>925</v>
      </c>
      <c r="C39" s="8" t="s">
        <v>440</v>
      </c>
      <c r="D39" s="8" t="s">
        <v>558</v>
      </c>
      <c r="E39" s="8">
        <v>8</v>
      </c>
      <c r="F39" s="8">
        <v>4096</v>
      </c>
      <c r="G39" s="8">
        <v>1024</v>
      </c>
      <c r="H39" s="8">
        <v>256</v>
      </c>
      <c r="I39" s="8">
        <v>500</v>
      </c>
      <c r="J39" s="8">
        <v>20</v>
      </c>
      <c r="K39" s="8">
        <v>10000</v>
      </c>
      <c r="L39" s="13">
        <f t="shared" si="1"/>
        <v>9.765625</v>
      </c>
      <c r="M39" s="13">
        <f t="shared" si="2"/>
        <v>1.220703125</v>
      </c>
      <c r="N39" s="13">
        <f t="shared" si="3"/>
        <v>32</v>
      </c>
      <c r="O39" s="13">
        <f t="shared" si="4"/>
        <v>5000</v>
      </c>
      <c r="P39" s="8" t="s">
        <v>454</v>
      </c>
      <c r="Q39" s="8" t="s">
        <v>455</v>
      </c>
      <c r="R39" s="8" t="s">
        <v>564</v>
      </c>
      <c r="S39" s="8" t="s">
        <v>934</v>
      </c>
      <c r="T39" s="8" t="s">
        <v>928</v>
      </c>
      <c r="U39" s="8" t="s">
        <v>210</v>
      </c>
      <c r="V39" s="8" t="s">
        <v>929</v>
      </c>
      <c r="W39" s="8"/>
      <c r="X39" s="8"/>
      <c r="Y39" s="8"/>
      <c r="Z39" s="8"/>
      <c r="AA39" s="8"/>
      <c r="AB39" s="8"/>
      <c r="AC39" s="8"/>
    </row>
  </sheetData>
  <mergeCells count="4">
    <mergeCell ref="A1:Y1"/>
    <mergeCell ref="A2:V2"/>
    <mergeCell ref="A13:V13"/>
    <mergeCell ref="A31:V31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7"/>
  <sheetViews>
    <sheetView showGridLines="0" zoomScaleNormal="100" workbookViewId="0">
      <selection activeCell="C21" sqref="C21"/>
    </sheetView>
  </sheetViews>
  <sheetFormatPr defaultColWidth="8.7265625" defaultRowHeight="14.5" x14ac:dyDescent="0.35"/>
  <cols>
    <col min="1" max="1" width="11.54296875" style="3" bestFit="1" customWidth="1"/>
    <col min="2" max="2" width="25.54296875" style="3" bestFit="1" customWidth="1"/>
    <col min="3" max="3" width="28.453125" style="3" bestFit="1" customWidth="1"/>
    <col min="4" max="4" width="27.1796875" style="3" bestFit="1" customWidth="1"/>
    <col min="5" max="5" width="23.90625" style="3" bestFit="1" customWidth="1"/>
    <col min="6" max="6" width="15.90625" style="3" bestFit="1" customWidth="1"/>
    <col min="7" max="7" width="51" style="3" customWidth="1"/>
    <col min="8" max="8" width="15.1796875" style="3" bestFit="1" customWidth="1"/>
    <col min="9" max="9" width="20.08984375" style="3" bestFit="1" customWidth="1"/>
    <col min="10" max="10" width="36.81640625" style="3" bestFit="1" customWidth="1"/>
    <col min="11" max="16384" width="8.7265625" style="3"/>
  </cols>
  <sheetData>
    <row r="1" spans="1:10" ht="18" customHeight="1" x14ac:dyDescent="0.35">
      <c r="A1" s="15" t="s">
        <v>935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35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 x14ac:dyDescent="0.35">
      <c r="A3" s="9" t="s">
        <v>597</v>
      </c>
      <c r="B3" s="9" t="s">
        <v>936</v>
      </c>
      <c r="C3" s="9" t="s">
        <v>937</v>
      </c>
      <c r="D3" s="9" t="s">
        <v>938</v>
      </c>
      <c r="E3" s="9" t="s">
        <v>939</v>
      </c>
      <c r="F3" s="9" t="s">
        <v>940</v>
      </c>
      <c r="G3" s="9" t="s">
        <v>941</v>
      </c>
      <c r="H3" s="9" t="s">
        <v>281</v>
      </c>
      <c r="I3" s="9" t="s">
        <v>942</v>
      </c>
      <c r="J3" s="9" t="s">
        <v>282</v>
      </c>
    </row>
    <row r="4" spans="1:10" x14ac:dyDescent="0.35">
      <c r="A4" s="8" t="s">
        <v>943</v>
      </c>
      <c r="B4" s="8" t="s">
        <v>944</v>
      </c>
      <c r="C4" s="13" t="str">
        <f>Model_Selection!C18</f>
        <v>WRK-006</v>
      </c>
      <c r="D4" s="13" t="str">
        <f t="shared" ref="D4:D36" si="0">C4</f>
        <v>WRK-006</v>
      </c>
      <c r="E4" s="13" t="str">
        <f t="shared" ref="E4:E36" si="1">C4</f>
        <v>WRK-006</v>
      </c>
      <c r="F4" s="8" t="s">
        <v>674</v>
      </c>
      <c r="G4" s="8" t="s">
        <v>945</v>
      </c>
      <c r="H4" s="8" t="s">
        <v>626</v>
      </c>
      <c r="I4" s="8" t="s">
        <v>20</v>
      </c>
      <c r="J4" s="8"/>
    </row>
    <row r="5" spans="1:10" x14ac:dyDescent="0.35">
      <c r="A5" s="8" t="s">
        <v>946</v>
      </c>
      <c r="B5" s="8" t="s">
        <v>684</v>
      </c>
      <c r="C5" s="13" t="str">
        <f>Model_Selection!C20</f>
        <v>MOD-003</v>
      </c>
      <c r="D5" s="13" t="str">
        <f t="shared" si="0"/>
        <v>MOD-003</v>
      </c>
      <c r="E5" s="13" t="str">
        <f t="shared" si="1"/>
        <v>MOD-003</v>
      </c>
      <c r="F5" s="8" t="s">
        <v>674</v>
      </c>
      <c r="G5" s="8" t="s">
        <v>947</v>
      </c>
      <c r="H5" s="8" t="s">
        <v>681</v>
      </c>
      <c r="I5" s="8" t="s">
        <v>154</v>
      </c>
      <c r="J5" s="8" t="s">
        <v>948</v>
      </c>
    </row>
    <row r="6" spans="1:10" x14ac:dyDescent="0.35">
      <c r="A6" s="8" t="s">
        <v>949</v>
      </c>
      <c r="B6" s="8" t="s">
        <v>950</v>
      </c>
      <c r="C6" s="13" t="str">
        <f>Model_Selection!C21</f>
        <v>Llama 3.3 70B Instruct</v>
      </c>
      <c r="D6" s="13" t="str">
        <f t="shared" si="0"/>
        <v>Llama 3.3 70B Instruct</v>
      </c>
      <c r="E6" s="13" t="str">
        <f t="shared" si="1"/>
        <v>Llama 3.3 70B Instruct</v>
      </c>
      <c r="F6" s="8" t="s">
        <v>951</v>
      </c>
      <c r="G6" s="8" t="s">
        <v>690</v>
      </c>
      <c r="H6" s="8" t="s">
        <v>213</v>
      </c>
      <c r="I6" s="8" t="s">
        <v>154</v>
      </c>
      <c r="J6" s="8" t="s">
        <v>952</v>
      </c>
    </row>
    <row r="7" spans="1:10" x14ac:dyDescent="0.35">
      <c r="A7" s="8" t="s">
        <v>953</v>
      </c>
      <c r="B7" s="8" t="s">
        <v>954</v>
      </c>
      <c r="C7" s="13" t="str">
        <f>IFERROR(INDEX(Model_Mapping_Catalog!$A$31:$A$53,MATCH(C5&amp;"|"&amp;C4,Model_Mapping_Catalog!$AC$31:$AC$53,0)),"Mapping Required")</f>
        <v>MGPU-021</v>
      </c>
      <c r="D7" s="13" t="str">
        <f t="shared" si="0"/>
        <v>MGPU-021</v>
      </c>
      <c r="E7" s="13" t="str">
        <f t="shared" si="1"/>
        <v>MGPU-021</v>
      </c>
      <c r="F7" s="8" t="s">
        <v>674</v>
      </c>
      <c r="G7" s="8" t="s">
        <v>955</v>
      </c>
      <c r="H7" s="8" t="s">
        <v>626</v>
      </c>
      <c r="I7" s="8" t="s">
        <v>409</v>
      </c>
      <c r="J7" s="8"/>
    </row>
    <row r="8" spans="1:10" x14ac:dyDescent="0.35">
      <c r="A8" s="8" t="s">
        <v>956</v>
      </c>
      <c r="B8" s="8" t="s">
        <v>416</v>
      </c>
      <c r="C8" s="13" t="str">
        <f>IFERROR(INDEX(Model_Mapping_Catalog!$K$31:$K$53,MATCH(C7,Model_Mapping_Catalog!$A$31:$A$53,0)),"Data Required")</f>
        <v>GPU-NV-004</v>
      </c>
      <c r="D8" s="13" t="str">
        <f t="shared" si="0"/>
        <v>GPU-NV-004</v>
      </c>
      <c r="E8" s="13" t="str">
        <f t="shared" si="1"/>
        <v>GPU-NV-004</v>
      </c>
      <c r="F8" s="8" t="s">
        <v>674</v>
      </c>
      <c r="G8" s="8" t="s">
        <v>957</v>
      </c>
      <c r="H8" s="8" t="s">
        <v>626</v>
      </c>
      <c r="I8" s="8" t="s">
        <v>416</v>
      </c>
      <c r="J8" s="8"/>
    </row>
    <row r="9" spans="1:10" x14ac:dyDescent="0.35">
      <c r="A9" s="8" t="s">
        <v>958</v>
      </c>
      <c r="B9" s="8" t="s">
        <v>418</v>
      </c>
      <c r="C9" s="13" t="str">
        <f>IFERROR(INDEX(Model_Mapping_Catalog!$M$31:$M$53,MATCH(C7,Model_Mapping_Catalog!$A$31:$A$53,0)),"Data Required")</f>
        <v>H100 SXM5 80GB</v>
      </c>
      <c r="D9" s="13" t="str">
        <f t="shared" si="0"/>
        <v>H100 SXM5 80GB</v>
      </c>
      <c r="E9" s="13" t="str">
        <f t="shared" si="1"/>
        <v>H100 SXM5 80GB</v>
      </c>
      <c r="F9" s="8" t="s">
        <v>959</v>
      </c>
      <c r="G9" s="8" t="s">
        <v>957</v>
      </c>
      <c r="H9" s="8" t="s">
        <v>681</v>
      </c>
      <c r="I9" s="8" t="s">
        <v>416</v>
      </c>
      <c r="J9" s="8"/>
    </row>
    <row r="10" spans="1:10" x14ac:dyDescent="0.35">
      <c r="A10" s="8" t="s">
        <v>960</v>
      </c>
      <c r="B10" s="8" t="s">
        <v>961</v>
      </c>
      <c r="C10" s="13">
        <f>IFERROR(INDEX(Model_Mapping_Catalog!$N$31:$N$53,MATCH(C7,Model_Mapping_Catalog!$A$31:$A$53,0)),"Data Required")</f>
        <v>80</v>
      </c>
      <c r="D10" s="13">
        <f t="shared" si="0"/>
        <v>80</v>
      </c>
      <c r="E10" s="13">
        <f t="shared" si="1"/>
        <v>80</v>
      </c>
      <c r="F10" s="8" t="s">
        <v>962</v>
      </c>
      <c r="G10" s="8" t="s">
        <v>957</v>
      </c>
      <c r="H10" s="8" t="s">
        <v>693</v>
      </c>
      <c r="I10" s="8" t="s">
        <v>416</v>
      </c>
      <c r="J10" s="8"/>
    </row>
    <row r="11" spans="1:10" x14ac:dyDescent="0.35">
      <c r="A11" s="8" t="s">
        <v>963</v>
      </c>
      <c r="B11" s="8" t="s">
        <v>411</v>
      </c>
      <c r="C11" s="13" t="str">
        <f>IFERROR(INDEX(Model_Mapping_Catalog!$F$31:$F$53,MATCH(C7,Model_Mapping_Catalog!$A$31:$A$53,0)),"Data Required")</f>
        <v>FP8</v>
      </c>
      <c r="D11" s="13" t="str">
        <f t="shared" si="0"/>
        <v>FP8</v>
      </c>
      <c r="E11" s="13" t="str">
        <f t="shared" si="1"/>
        <v>FP8</v>
      </c>
      <c r="F11" s="8" t="s">
        <v>90</v>
      </c>
      <c r="G11" s="8" t="s">
        <v>957</v>
      </c>
      <c r="H11" s="8" t="s">
        <v>626</v>
      </c>
      <c r="I11" s="8" t="s">
        <v>409</v>
      </c>
      <c r="J11" s="8"/>
    </row>
    <row r="12" spans="1:10" x14ac:dyDescent="0.35">
      <c r="A12" s="8" t="s">
        <v>964</v>
      </c>
      <c r="B12" s="8" t="s">
        <v>965</v>
      </c>
      <c r="C12" s="13">
        <f>IFERROR(INDEX(Model_Mapping_Catalog!$H$31:$H$53,MATCH(C7,Model_Mapping_Catalog!$A$31:$A$53,0)),"Data Required")</f>
        <v>70</v>
      </c>
      <c r="D12" s="13">
        <f t="shared" si="0"/>
        <v>70</v>
      </c>
      <c r="E12" s="13">
        <f t="shared" si="1"/>
        <v>70</v>
      </c>
      <c r="F12" s="8" t="s">
        <v>962</v>
      </c>
      <c r="G12" s="8" t="s">
        <v>966</v>
      </c>
      <c r="H12" s="8" t="s">
        <v>626</v>
      </c>
      <c r="I12" s="8" t="s">
        <v>409</v>
      </c>
      <c r="J12" s="8"/>
    </row>
    <row r="13" spans="1:10" x14ac:dyDescent="0.35">
      <c r="A13" s="8" t="s">
        <v>967</v>
      </c>
      <c r="B13" s="8" t="s">
        <v>968</v>
      </c>
      <c r="C13" s="13">
        <f>IF(C12="Data Required","Data Required",MAX(8,C12*0.1))</f>
        <v>8</v>
      </c>
      <c r="D13" s="13">
        <f t="shared" si="0"/>
        <v>8</v>
      </c>
      <c r="E13" s="13">
        <f t="shared" si="1"/>
        <v>8</v>
      </c>
      <c r="F13" s="8" t="s">
        <v>962</v>
      </c>
      <c r="G13" s="8" t="s">
        <v>969</v>
      </c>
      <c r="H13" s="8" t="s">
        <v>135</v>
      </c>
      <c r="I13" s="8" t="s">
        <v>970</v>
      </c>
      <c r="J13" s="8" t="s">
        <v>971</v>
      </c>
    </row>
    <row r="14" spans="1:10" x14ac:dyDescent="0.35">
      <c r="A14" s="8" t="s">
        <v>972</v>
      </c>
      <c r="B14" s="8" t="s">
        <v>973</v>
      </c>
      <c r="C14" s="13">
        <f>Model_Selection!C12*Input!C13*0.00004</f>
        <v>380.24</v>
      </c>
      <c r="D14" s="13">
        <f t="shared" si="0"/>
        <v>380.24</v>
      </c>
      <c r="E14" s="13">
        <f t="shared" si="1"/>
        <v>380.24</v>
      </c>
      <c r="F14" s="8" t="s">
        <v>962</v>
      </c>
      <c r="G14" s="8" t="s">
        <v>974</v>
      </c>
      <c r="H14" s="8" t="s">
        <v>135</v>
      </c>
      <c r="I14" s="8" t="s">
        <v>975</v>
      </c>
      <c r="J14" s="8" t="s">
        <v>976</v>
      </c>
    </row>
    <row r="15" spans="1:10" x14ac:dyDescent="0.35">
      <c r="A15" s="8" t="s">
        <v>977</v>
      </c>
      <c r="B15" s="8" t="s">
        <v>978</v>
      </c>
      <c r="C15" s="13">
        <f>SUM(C12:C14)</f>
        <v>458.24</v>
      </c>
      <c r="D15" s="13">
        <f t="shared" si="0"/>
        <v>458.24</v>
      </c>
      <c r="E15" s="13">
        <f t="shared" si="1"/>
        <v>458.24</v>
      </c>
      <c r="F15" s="8" t="s">
        <v>962</v>
      </c>
      <c r="G15" s="8" t="s">
        <v>979</v>
      </c>
      <c r="H15" s="8" t="s">
        <v>626</v>
      </c>
      <c r="I15" s="8" t="s">
        <v>980</v>
      </c>
      <c r="J15" s="8"/>
    </row>
    <row r="16" spans="1:10" x14ac:dyDescent="0.35">
      <c r="A16" s="8" t="s">
        <v>981</v>
      </c>
      <c r="B16" s="8" t="s">
        <v>982</v>
      </c>
      <c r="C16" s="13">
        <f>ROUNDUP(C15/(C10*0.9),0)</f>
        <v>7</v>
      </c>
      <c r="D16" s="13">
        <f t="shared" si="0"/>
        <v>7</v>
      </c>
      <c r="E16" s="13">
        <f t="shared" si="1"/>
        <v>7</v>
      </c>
      <c r="F16" s="8" t="s">
        <v>983</v>
      </c>
      <c r="G16" s="8" t="s">
        <v>984</v>
      </c>
      <c r="H16" s="8" t="s">
        <v>626</v>
      </c>
      <c r="I16" s="8" t="s">
        <v>980</v>
      </c>
      <c r="J16" s="8"/>
    </row>
    <row r="17" spans="1:10" x14ac:dyDescent="0.35">
      <c r="A17" s="8" t="s">
        <v>985</v>
      </c>
      <c r="B17" s="8" t="s">
        <v>434</v>
      </c>
      <c r="C17" s="13" t="str">
        <f>IFERROR(INDEX(Model_Mapping_Catalog!$AE$31:$AE$53,MATCH(C7,Model_Mapping_Catalog!$A$31:$A$53,0)),"Benchmark Required")</f>
        <v>BM-H100-5K500-C50</v>
      </c>
      <c r="D17" s="13" t="str">
        <f t="shared" si="0"/>
        <v>BM-H100-5K500-C50</v>
      </c>
      <c r="E17" s="13" t="str">
        <f t="shared" si="1"/>
        <v>BM-H100-5K500-C50</v>
      </c>
      <c r="F17" s="8" t="s">
        <v>674</v>
      </c>
      <c r="G17" s="8" t="s">
        <v>986</v>
      </c>
      <c r="H17" s="8" t="s">
        <v>626</v>
      </c>
      <c r="I17" s="8" t="s">
        <v>434</v>
      </c>
      <c r="J17" s="8"/>
    </row>
    <row r="18" spans="1:10" x14ac:dyDescent="0.35">
      <c r="A18" s="8" t="s">
        <v>987</v>
      </c>
      <c r="B18" s="8" t="s">
        <v>915</v>
      </c>
      <c r="C18" s="13" t="str">
        <f>IFERROR(INDEX(Hardware_Mapping_Catalog!$P$33:$P$39,MATCH(C17,Hardware_Mapping_Catalog!$A$33:$A$39,0)),"Benchmark Required")</f>
        <v>Exact Published</v>
      </c>
      <c r="D18" s="13" t="str">
        <f t="shared" si="0"/>
        <v>Exact Published</v>
      </c>
      <c r="E18" s="13" t="str">
        <f t="shared" si="1"/>
        <v>Exact Published</v>
      </c>
      <c r="F18" s="8" t="s">
        <v>988</v>
      </c>
      <c r="G18" s="8" t="s">
        <v>989</v>
      </c>
      <c r="H18" s="8" t="s">
        <v>626</v>
      </c>
      <c r="I18" s="8" t="s">
        <v>434</v>
      </c>
      <c r="J18" s="8"/>
    </row>
    <row r="19" spans="1:10" x14ac:dyDescent="0.35">
      <c r="A19" s="8" t="s">
        <v>990</v>
      </c>
      <c r="B19" s="8" t="s">
        <v>436</v>
      </c>
      <c r="C19" s="13" t="str">
        <f>IFERROR(INDEX(Hardware_Mapping_Catalog!$Q$33:$Q$39,MATCH(C17,Hardware_Mapping_Catalog!$A$33:$A$39,0)),"Low")</f>
        <v>High</v>
      </c>
      <c r="D19" s="13" t="str">
        <f t="shared" si="0"/>
        <v>High</v>
      </c>
      <c r="E19" s="13" t="str">
        <f t="shared" si="1"/>
        <v>High</v>
      </c>
      <c r="F19" s="8" t="s">
        <v>991</v>
      </c>
      <c r="G19" s="8" t="s">
        <v>989</v>
      </c>
      <c r="H19" s="8" t="s">
        <v>626</v>
      </c>
      <c r="I19" s="8" t="s">
        <v>434</v>
      </c>
      <c r="J19" s="8"/>
    </row>
    <row r="20" spans="1:10" x14ac:dyDescent="0.35">
      <c r="A20" s="8" t="s">
        <v>992</v>
      </c>
      <c r="B20" s="8" t="s">
        <v>993</v>
      </c>
      <c r="C20" s="13">
        <f>IFERROR(INDEX(Hardware_Mapping_Catalog!$I$33:$I$39,MATCH(C17,Hardware_Mapping_Catalog!$A$33:$A$39,0)),"Data Required")</f>
        <v>834.51</v>
      </c>
      <c r="D20" s="13">
        <f t="shared" si="0"/>
        <v>834.51</v>
      </c>
      <c r="E20" s="13">
        <f t="shared" si="1"/>
        <v>834.51</v>
      </c>
      <c r="F20" s="8" t="s">
        <v>80</v>
      </c>
      <c r="G20" s="8" t="s">
        <v>989</v>
      </c>
      <c r="H20" s="8" t="s">
        <v>626</v>
      </c>
      <c r="I20" s="8" t="s">
        <v>434</v>
      </c>
      <c r="J20" s="8"/>
    </row>
    <row r="21" spans="1:10" x14ac:dyDescent="0.35">
      <c r="A21" s="8" t="s">
        <v>994</v>
      </c>
      <c r="B21" s="8" t="s">
        <v>995</v>
      </c>
      <c r="C21" s="13">
        <f>IFERROR(INDEX(Hardware_Mapping_Catalog!$J$33:$J$39,MATCH(C17,Hardware_Mapping_Catalog!$A$33:$A$39,0)),"Data Required")</f>
        <v>59.73</v>
      </c>
      <c r="D21" s="13">
        <f t="shared" si="0"/>
        <v>59.73</v>
      </c>
      <c r="E21" s="13">
        <f t="shared" si="1"/>
        <v>59.73</v>
      </c>
      <c r="F21" s="8" t="s">
        <v>996</v>
      </c>
      <c r="G21" s="8" t="s">
        <v>989</v>
      </c>
      <c r="H21" s="8" t="s">
        <v>626</v>
      </c>
      <c r="I21" s="8" t="s">
        <v>434</v>
      </c>
      <c r="J21" s="8"/>
    </row>
    <row r="22" spans="1:10" x14ac:dyDescent="0.35">
      <c r="A22" s="8" t="s">
        <v>997</v>
      </c>
      <c r="B22" s="8" t="s">
        <v>998</v>
      </c>
      <c r="C22" s="13">
        <f>IFERROR(INDEX(Hardware_Mapping_Catalog!$M$33:$M$39,MATCH(C17,Hardware_Mapping_Catalog!$A$33:$A$39,0)),"Data Required")</f>
        <v>0.81437000000000004</v>
      </c>
      <c r="D22" s="13">
        <f t="shared" si="0"/>
        <v>0.81437000000000004</v>
      </c>
      <c r="E22" s="13">
        <f t="shared" si="1"/>
        <v>0.81437000000000004</v>
      </c>
      <c r="F22" s="8" t="s">
        <v>999</v>
      </c>
      <c r="G22" s="8" t="s">
        <v>989</v>
      </c>
      <c r="H22" s="8" t="s">
        <v>626</v>
      </c>
      <c r="I22" s="8" t="s">
        <v>434</v>
      </c>
      <c r="J22" s="8"/>
    </row>
    <row r="23" spans="1:10" x14ac:dyDescent="0.35">
      <c r="A23" s="8" t="s">
        <v>1000</v>
      </c>
      <c r="B23" s="8" t="s">
        <v>1001</v>
      </c>
      <c r="C23" s="13">
        <f>IFERROR(INDEX(Hardware_Mapping_Catalog!$N$33:$N$39,MATCH(C17,Hardware_Mapping_Catalog!$A$33:$A$39,0)),"Data Required")</f>
        <v>25</v>
      </c>
      <c r="D23" s="13">
        <f t="shared" si="0"/>
        <v>25</v>
      </c>
      <c r="E23" s="13">
        <f t="shared" si="1"/>
        <v>25</v>
      </c>
      <c r="F23" s="8" t="s">
        <v>1002</v>
      </c>
      <c r="G23" s="8" t="s">
        <v>989</v>
      </c>
      <c r="H23" s="8" t="s">
        <v>626</v>
      </c>
      <c r="I23" s="8" t="s">
        <v>434</v>
      </c>
      <c r="J23" s="8"/>
    </row>
    <row r="24" spans="1:10" x14ac:dyDescent="0.35">
      <c r="A24" s="8" t="s">
        <v>1003</v>
      </c>
      <c r="B24" s="8" t="s">
        <v>1004</v>
      </c>
      <c r="C24" s="13">
        <f>IFERROR(INDEX(Hardware_Mapping_Catalog!$O$33:$O$39,MATCH(C17,Hardware_Mapping_Catalog!$A$33:$A$39,0)),"Data Required")</f>
        <v>4071.8500000000004</v>
      </c>
      <c r="D24" s="13">
        <f t="shared" si="0"/>
        <v>4071.8500000000004</v>
      </c>
      <c r="E24" s="13">
        <f t="shared" si="1"/>
        <v>4071.8500000000004</v>
      </c>
      <c r="F24" s="8" t="s">
        <v>1005</v>
      </c>
      <c r="G24" s="8" t="s">
        <v>989</v>
      </c>
      <c r="H24" s="8" t="s">
        <v>626</v>
      </c>
      <c r="I24" s="8" t="s">
        <v>434</v>
      </c>
      <c r="J24" s="8"/>
    </row>
    <row r="25" spans="1:10" x14ac:dyDescent="0.35">
      <c r="A25" s="8" t="s">
        <v>1006</v>
      </c>
      <c r="B25" s="8" t="s">
        <v>1007</v>
      </c>
      <c r="C25" s="13">
        <f>IFERROR(INDEX(Hardware_Mapping_Catalog!$K$33:$K$39,MATCH(C17,Hardware_Mapping_Catalog!$A$33:$A$39,0))/INDEX(Hardware_Mapping_Catalog!$E$33:$E$39,MATCH(C17,Hardware_Mapping_Catalog!$A$33:$A$39,0)),"Data Required")</f>
        <v>407.185</v>
      </c>
      <c r="D25" s="13">
        <f t="shared" si="0"/>
        <v>407.185</v>
      </c>
      <c r="E25" s="13">
        <f t="shared" si="1"/>
        <v>407.185</v>
      </c>
      <c r="F25" s="8" t="s">
        <v>1005</v>
      </c>
      <c r="G25" s="8" t="s">
        <v>1008</v>
      </c>
      <c r="H25" s="8" t="s">
        <v>626</v>
      </c>
      <c r="I25" s="8" t="s">
        <v>434</v>
      </c>
      <c r="J25" s="8"/>
    </row>
    <row r="26" spans="1:10" x14ac:dyDescent="0.35">
      <c r="A26" s="8" t="s">
        <v>1009</v>
      </c>
      <c r="B26" s="8" t="s">
        <v>1010</v>
      </c>
      <c r="C26" s="13" t="str">
        <f>IF(C20="Data Required","Data Required",IF(C20&lt;=Input!C15,"Pass","Fail"))</f>
        <v>Pass</v>
      </c>
      <c r="D26" s="13" t="str">
        <f t="shared" si="0"/>
        <v>Pass</v>
      </c>
      <c r="E26" s="13" t="str">
        <f t="shared" si="1"/>
        <v>Pass</v>
      </c>
      <c r="F26" s="8" t="s">
        <v>697</v>
      </c>
      <c r="G26" s="8" t="s">
        <v>1011</v>
      </c>
      <c r="H26" s="8" t="s">
        <v>626</v>
      </c>
      <c r="I26" s="8" t="s">
        <v>1012</v>
      </c>
      <c r="J26" s="8"/>
    </row>
    <row r="27" spans="1:10" x14ac:dyDescent="0.35">
      <c r="A27" s="8" t="s">
        <v>1013</v>
      </c>
      <c r="B27" s="8" t="s">
        <v>1014</v>
      </c>
      <c r="C27" s="13" t="str">
        <f>IF(C21="Data Required","Data Required",IF(1000/C21&gt;=Input!C16,"Pass","Fail"))</f>
        <v>Fail</v>
      </c>
      <c r="D27" s="13" t="str">
        <f t="shared" si="0"/>
        <v>Fail</v>
      </c>
      <c r="E27" s="13" t="str">
        <f t="shared" si="1"/>
        <v>Fail</v>
      </c>
      <c r="F27" s="8" t="s">
        <v>697</v>
      </c>
      <c r="G27" s="8" t="s">
        <v>1015</v>
      </c>
      <c r="H27" s="8" t="s">
        <v>626</v>
      </c>
      <c r="I27" s="8" t="s">
        <v>1016</v>
      </c>
      <c r="J27" s="8"/>
    </row>
    <row r="28" spans="1:10" x14ac:dyDescent="0.35">
      <c r="A28" s="8" t="s">
        <v>1017</v>
      </c>
      <c r="B28" s="8" t="s">
        <v>1018</v>
      </c>
      <c r="C28" s="13">
        <f>IF(OR(C22="Data Required",C22=0),"Data Required",ROUNDUP(Model_Selection!C13/C22,0))</f>
        <v>13</v>
      </c>
      <c r="D28" s="13">
        <f t="shared" si="0"/>
        <v>13</v>
      </c>
      <c r="E28" s="13">
        <f t="shared" si="1"/>
        <v>13</v>
      </c>
      <c r="F28" s="8" t="s">
        <v>983</v>
      </c>
      <c r="G28" s="8" t="s">
        <v>1019</v>
      </c>
      <c r="H28" s="8" t="s">
        <v>626</v>
      </c>
      <c r="I28" s="8" t="s">
        <v>653</v>
      </c>
      <c r="J28" s="8"/>
    </row>
    <row r="29" spans="1:10" x14ac:dyDescent="0.35">
      <c r="A29" s="8" t="s">
        <v>1020</v>
      </c>
      <c r="B29" s="8" t="s">
        <v>1021</v>
      </c>
      <c r="C29" s="13">
        <f>IF(OR(C24="Data Required",C24=0),"Data Required",ROUNDUP(Model_Selection!C14/C24,0))</f>
        <v>22</v>
      </c>
      <c r="D29" s="13">
        <f t="shared" si="0"/>
        <v>22</v>
      </c>
      <c r="E29" s="13">
        <f t="shared" si="1"/>
        <v>22</v>
      </c>
      <c r="F29" s="8" t="s">
        <v>983</v>
      </c>
      <c r="G29" s="8" t="s">
        <v>1022</v>
      </c>
      <c r="H29" s="8" t="s">
        <v>626</v>
      </c>
      <c r="I29" s="8" t="s">
        <v>1023</v>
      </c>
      <c r="J29" s="8"/>
    </row>
    <row r="30" spans="1:10" x14ac:dyDescent="0.35">
      <c r="A30" s="8" t="s">
        <v>1024</v>
      </c>
      <c r="B30" s="8" t="s">
        <v>1025</v>
      </c>
      <c r="C30" s="13">
        <f>IF(OR(C25="Data Required",C25=0),"Data Required",ROUNDUP(Model_Selection!C15/C25,0))</f>
        <v>15</v>
      </c>
      <c r="D30" s="13">
        <f t="shared" si="0"/>
        <v>15</v>
      </c>
      <c r="E30" s="13">
        <f t="shared" si="1"/>
        <v>15</v>
      </c>
      <c r="F30" s="8" t="s">
        <v>983</v>
      </c>
      <c r="G30" s="8" t="s">
        <v>1026</v>
      </c>
      <c r="H30" s="8" t="s">
        <v>626</v>
      </c>
      <c r="I30" s="8" t="s">
        <v>1027</v>
      </c>
      <c r="J30" s="8"/>
    </row>
    <row r="31" spans="1:10" x14ac:dyDescent="0.35">
      <c r="A31" s="8" t="s">
        <v>1028</v>
      </c>
      <c r="B31" s="8" t="s">
        <v>1029</v>
      </c>
      <c r="C31" s="13">
        <f>IF(OR(C23="Data Required",C23=0),"Data Required",ROUNDUP(Model_Selection!C16/C23,0))</f>
        <v>40</v>
      </c>
      <c r="D31" s="13">
        <f t="shared" si="0"/>
        <v>40</v>
      </c>
      <c r="E31" s="13">
        <f t="shared" si="1"/>
        <v>40</v>
      </c>
      <c r="F31" s="8" t="s">
        <v>983</v>
      </c>
      <c r="G31" s="8" t="s">
        <v>1030</v>
      </c>
      <c r="H31" s="8" t="s">
        <v>626</v>
      </c>
      <c r="I31" s="8" t="s">
        <v>907</v>
      </c>
      <c r="J31" s="8"/>
    </row>
    <row r="32" spans="1:10" x14ac:dyDescent="0.35">
      <c r="A32" s="8" t="s">
        <v>1031</v>
      </c>
      <c r="B32" s="8" t="s">
        <v>1032</v>
      </c>
      <c r="C32" s="13">
        <f>IFERROR(INDEX(Model_Mapping_Catalog!$U$31:$U$53,MATCH(C7,Model_Mapping_Catalog!$A$31:$A$53,0)),1)</f>
        <v>2</v>
      </c>
      <c r="D32" s="13">
        <f t="shared" si="0"/>
        <v>2</v>
      </c>
      <c r="E32" s="13">
        <f t="shared" si="1"/>
        <v>2</v>
      </c>
      <c r="F32" s="8" t="s">
        <v>983</v>
      </c>
      <c r="G32" s="8" t="s">
        <v>1033</v>
      </c>
      <c r="H32" s="8" t="s">
        <v>626</v>
      </c>
      <c r="I32" s="8" t="s">
        <v>1034</v>
      </c>
      <c r="J32" s="8"/>
    </row>
    <row r="33" spans="1:10" x14ac:dyDescent="0.35">
      <c r="A33" s="8" t="s">
        <v>1035</v>
      </c>
      <c r="B33" s="8" t="s">
        <v>1036</v>
      </c>
      <c r="C33" s="13">
        <f>IF(COUNT(C16,C28:C32)&lt;6,"Data Required",MAX(C16,C28:C32))</f>
        <v>40</v>
      </c>
      <c r="D33" s="13">
        <f t="shared" si="0"/>
        <v>40</v>
      </c>
      <c r="E33" s="13">
        <f t="shared" si="1"/>
        <v>40</v>
      </c>
      <c r="F33" s="8" t="s">
        <v>983</v>
      </c>
      <c r="G33" s="8" t="s">
        <v>1037</v>
      </c>
      <c r="H33" s="8" t="s">
        <v>626</v>
      </c>
      <c r="I33" s="8" t="s">
        <v>1038</v>
      </c>
      <c r="J33" s="8"/>
    </row>
    <row r="34" spans="1:10" x14ac:dyDescent="0.35">
      <c r="A34" s="8" t="s">
        <v>1039</v>
      </c>
      <c r="B34" s="8" t="s">
        <v>422</v>
      </c>
      <c r="C34" s="13" t="str">
        <f>IFERROR(INDEX(Model_Mapping_Catalog!$Q$31:$Q$53,MATCH(C7,Model_Mapping_Catalog!$A$31:$A$53,0)),"Data Required")</f>
        <v>CMP-003</v>
      </c>
      <c r="D34" s="13" t="str">
        <f t="shared" si="0"/>
        <v>CMP-003</v>
      </c>
      <c r="E34" s="13" t="str">
        <f t="shared" si="1"/>
        <v>CMP-003</v>
      </c>
      <c r="F34" s="8" t="s">
        <v>674</v>
      </c>
      <c r="G34" s="8" t="s">
        <v>957</v>
      </c>
      <c r="H34" s="8" t="s">
        <v>626</v>
      </c>
      <c r="I34" s="8" t="s">
        <v>791</v>
      </c>
      <c r="J34" s="8"/>
    </row>
    <row r="35" spans="1:10" x14ac:dyDescent="0.35">
      <c r="A35" s="8" t="s">
        <v>1040</v>
      </c>
      <c r="B35" s="8" t="s">
        <v>712</v>
      </c>
      <c r="C35" s="13" t="str">
        <f>IFERROR(INDEX(Hardware_Mapping_Catalog!$C$15:$C$28,MATCH(C34,Hardware_Mapping_Catalog!$A$15:$A$28,0)),"Data Required")</f>
        <v>PowerEdge XE8640</v>
      </c>
      <c r="D35" s="13" t="str">
        <f t="shared" si="0"/>
        <v>PowerEdge XE8640</v>
      </c>
      <c r="E35" s="13" t="str">
        <f t="shared" si="1"/>
        <v>PowerEdge XE8640</v>
      </c>
      <c r="F35" s="8" t="s">
        <v>1041</v>
      </c>
      <c r="G35" s="8" t="s">
        <v>1042</v>
      </c>
      <c r="H35" s="8" t="s">
        <v>681</v>
      </c>
      <c r="I35" s="8" t="s">
        <v>711</v>
      </c>
      <c r="J35" s="8"/>
    </row>
    <row r="36" spans="1:10" x14ac:dyDescent="0.35">
      <c r="A36" s="8" t="s">
        <v>1043</v>
      </c>
      <c r="B36" s="8" t="s">
        <v>1044</v>
      </c>
      <c r="C36" s="13">
        <f>IFERROR(INDEX(Hardware_Mapping_Catalog!$G$15:$G$28,MATCH(C34,Hardware_Mapping_Catalog!$A$15:$A$28,0)),"Data Required")</f>
        <v>4</v>
      </c>
      <c r="D36" s="13">
        <f t="shared" si="0"/>
        <v>4</v>
      </c>
      <c r="E36" s="13">
        <f t="shared" si="1"/>
        <v>4</v>
      </c>
      <c r="F36" s="8" t="s">
        <v>1045</v>
      </c>
      <c r="G36" s="8" t="s">
        <v>1046</v>
      </c>
      <c r="H36" s="8" t="s">
        <v>693</v>
      </c>
      <c r="I36" s="8" t="s">
        <v>791</v>
      </c>
      <c r="J36" s="8"/>
    </row>
    <row r="37" spans="1:10" x14ac:dyDescent="0.35">
      <c r="A37" s="8" t="s">
        <v>1047</v>
      </c>
      <c r="B37" s="8" t="s">
        <v>1048</v>
      </c>
      <c r="C37" s="13">
        <f>IF(OR(C33="Data Required",C36="Data Required",C36=0),"Data Required",ROUNDUP(C33*1/C36,0)*C36)</f>
        <v>40</v>
      </c>
      <c r="D37" s="13">
        <f>IF(OR(D33="Data Required",D36="Data Required",D36=0),"Data Required",ROUNDUP(D33*1.25/D36,0)*D36)</f>
        <v>52</v>
      </c>
      <c r="E37" s="13">
        <f>IF(OR(E33="Data Required",E36="Data Required",E36=0),"Data Required",ROUNDUP(E33*1.5/E36,0)*E36)</f>
        <v>60</v>
      </c>
      <c r="F37" s="8" t="s">
        <v>983</v>
      </c>
      <c r="G37" s="8" t="s">
        <v>1049</v>
      </c>
      <c r="H37" s="8" t="s">
        <v>626</v>
      </c>
      <c r="I37" s="8" t="s">
        <v>1050</v>
      </c>
      <c r="J37" s="8" t="s">
        <v>1051</v>
      </c>
    </row>
    <row r="38" spans="1:10" x14ac:dyDescent="0.35">
      <c r="A38" s="8" t="s">
        <v>1052</v>
      </c>
      <c r="B38" s="8" t="s">
        <v>1053</v>
      </c>
      <c r="C38" s="13">
        <f>IF(OR(C37="Data Required",C36="Data Required",C36=0),"Data Required",C37/C36)</f>
        <v>10</v>
      </c>
      <c r="D38" s="13">
        <f>IF(OR(D37="Data Required",D36="Data Required",D36=0),"Data Required",D37/D36)</f>
        <v>13</v>
      </c>
      <c r="E38" s="13">
        <f>IF(OR(E37="Data Required",E36="Data Required",E36=0),"Data Required",E37/E36)</f>
        <v>15</v>
      </c>
      <c r="F38" s="8" t="s">
        <v>101</v>
      </c>
      <c r="G38" s="8" t="s">
        <v>1054</v>
      </c>
      <c r="H38" s="8" t="s">
        <v>626</v>
      </c>
      <c r="I38" s="8" t="s">
        <v>711</v>
      </c>
      <c r="J38" s="8"/>
    </row>
    <row r="39" spans="1:10" x14ac:dyDescent="0.35">
      <c r="A39" s="8" t="s">
        <v>1055</v>
      </c>
      <c r="B39" s="8" t="s">
        <v>1056</v>
      </c>
      <c r="C39" s="13">
        <f>IF(C38="Data Required","Data Required",ROUNDUP(C38*(1+Input!C23)^Input!C22,0))</f>
        <v>18</v>
      </c>
      <c r="D39" s="13">
        <f>IF(D38="Data Required","Data Required",ROUNDUP(D38*(1+Input!C23)^Input!C22,0))</f>
        <v>23</v>
      </c>
      <c r="E39" s="13">
        <f>IF(E38="Data Required","Data Required",ROUNDUP(E38*(1+Input!C23)^Input!C22,0))</f>
        <v>26</v>
      </c>
      <c r="F39" s="8" t="s">
        <v>101</v>
      </c>
      <c r="G39" s="8" t="s">
        <v>1057</v>
      </c>
      <c r="H39" s="8" t="s">
        <v>626</v>
      </c>
      <c r="I39" s="8" t="s">
        <v>1058</v>
      </c>
      <c r="J39" s="8"/>
    </row>
    <row r="40" spans="1:10" x14ac:dyDescent="0.35">
      <c r="A40" s="8" t="s">
        <v>1059</v>
      </c>
      <c r="B40" s="8" t="s">
        <v>1060</v>
      </c>
      <c r="C40" s="13">
        <f>IF(C39="Data Required","Data Required",C39+Input!C19)</f>
        <v>19</v>
      </c>
      <c r="D40" s="13">
        <f>IF(D39="Data Required","Data Required",D39+Input!C19)</f>
        <v>24</v>
      </c>
      <c r="E40" s="13">
        <f>IF(E39="Data Required","Data Required",E39+Input!C19)</f>
        <v>27</v>
      </c>
      <c r="F40" s="8" t="s">
        <v>101</v>
      </c>
      <c r="G40" s="8" t="s">
        <v>1061</v>
      </c>
      <c r="H40" s="8" t="s">
        <v>626</v>
      </c>
      <c r="I40" s="8" t="s">
        <v>1062</v>
      </c>
      <c r="J40" s="8"/>
    </row>
    <row r="41" spans="1:10" x14ac:dyDescent="0.35">
      <c r="A41" s="8" t="s">
        <v>1063</v>
      </c>
      <c r="B41" s="8" t="s">
        <v>1064</v>
      </c>
      <c r="C41" s="13">
        <f>IF(C40="Data Required","Data Required",IF(OR(Input!C20="None",Input!C20="Backup Only"),0,ROUNDUP(C40*Input!C21,0)))</f>
        <v>10</v>
      </c>
      <c r="D41" s="13">
        <f>IF(D40="Data Required","Data Required",IF(OR(Input!C20="None",Input!C20="Backup Only"),0,ROUNDUP(D40*Input!C21,0)))</f>
        <v>12</v>
      </c>
      <c r="E41" s="13">
        <f>IF(E40="Data Required","Data Required",IF(OR(Input!C20="None",Input!C20="Backup Only"),0,ROUNDUP(E40*Input!C21,0)))</f>
        <v>14</v>
      </c>
      <c r="F41" s="8" t="s">
        <v>101</v>
      </c>
      <c r="G41" s="8" t="s">
        <v>1065</v>
      </c>
      <c r="H41" s="8" t="s">
        <v>626</v>
      </c>
      <c r="I41" s="8" t="s">
        <v>1066</v>
      </c>
      <c r="J41" s="8"/>
    </row>
    <row r="42" spans="1:10" x14ac:dyDescent="0.35">
      <c r="A42" s="8" t="s">
        <v>1067</v>
      </c>
      <c r="B42" s="8" t="s">
        <v>1068</v>
      </c>
      <c r="C42" s="13">
        <f>IF(C40="Data Required","Data Required",C40+C41)</f>
        <v>29</v>
      </c>
      <c r="D42" s="13">
        <f>IF(D40="Data Required","Data Required",D40+D41)</f>
        <v>36</v>
      </c>
      <c r="E42" s="13">
        <f>IF(E40="Data Required","Data Required",E40+E41)</f>
        <v>41</v>
      </c>
      <c r="F42" s="8" t="s">
        <v>101</v>
      </c>
      <c r="G42" s="8" t="s">
        <v>1069</v>
      </c>
      <c r="H42" s="8" t="s">
        <v>626</v>
      </c>
      <c r="I42" s="8" t="s">
        <v>1070</v>
      </c>
      <c r="J42" s="8"/>
    </row>
    <row r="43" spans="1:10" x14ac:dyDescent="0.35">
      <c r="A43" s="8" t="s">
        <v>1071</v>
      </c>
      <c r="B43" s="8" t="s">
        <v>1072</v>
      </c>
      <c r="C43" s="13">
        <f>IF(OR(C37="Data Required",C10="Data Required"),"Data Required",C37*C10)</f>
        <v>3200</v>
      </c>
      <c r="D43" s="13">
        <f>IF(OR(D37="Data Required",D10="Data Required"),"Data Required",D37*D10)</f>
        <v>4160</v>
      </c>
      <c r="E43" s="13">
        <f>IF(OR(E37="Data Required",E10="Data Required"),"Data Required",E37*E10)</f>
        <v>4800</v>
      </c>
      <c r="F43" s="8" t="s">
        <v>962</v>
      </c>
      <c r="G43" s="8" t="s">
        <v>1073</v>
      </c>
      <c r="H43" s="8" t="s">
        <v>626</v>
      </c>
      <c r="I43" s="8" t="s">
        <v>416</v>
      </c>
      <c r="J43" s="8"/>
    </row>
    <row r="44" spans="1:10" x14ac:dyDescent="0.35">
      <c r="A44" s="8" t="s">
        <v>1074</v>
      </c>
      <c r="B44" s="8" t="s">
        <v>729</v>
      </c>
      <c r="C44" s="13">
        <f>IFERROR(INDEX(Hardware_Mapping_Catalog!$AB$15:$AB$28,MATCH(C34,Hardware_Mapping_Catalog!$A$15:$A$28,0)),"Data Required")</f>
        <v>180000</v>
      </c>
      <c r="D44" s="13">
        <f>C44</f>
        <v>180000</v>
      </c>
      <c r="E44" s="13">
        <f>C44</f>
        <v>180000</v>
      </c>
      <c r="F44" s="8" t="s">
        <v>1075</v>
      </c>
      <c r="G44" s="8" t="s">
        <v>1076</v>
      </c>
      <c r="H44" s="8" t="s">
        <v>1077</v>
      </c>
      <c r="I44" s="8" t="s">
        <v>791</v>
      </c>
      <c r="J44" s="8" t="s">
        <v>1078</v>
      </c>
    </row>
    <row r="45" spans="1:10" x14ac:dyDescent="0.35">
      <c r="A45" s="8" t="s">
        <v>1079</v>
      </c>
      <c r="B45" s="8" t="s">
        <v>1080</v>
      </c>
      <c r="C45" s="13">
        <f>IF(OR(C42="Data Required",C44="Data Required"),"Data Required",C42*C44)</f>
        <v>5220000</v>
      </c>
      <c r="D45" s="13">
        <f>IF(OR(D42="Data Required",D44="Data Required"),"Data Required",D42*D44)</f>
        <v>6480000</v>
      </c>
      <c r="E45" s="13">
        <f>IF(OR(E42="Data Required",E44="Data Required"),"Data Required",E42*E44)</f>
        <v>7380000</v>
      </c>
      <c r="F45" s="8" t="s">
        <v>743</v>
      </c>
      <c r="G45" s="8" t="s">
        <v>1081</v>
      </c>
      <c r="H45" s="8" t="s">
        <v>1077</v>
      </c>
      <c r="I45" s="8" t="s">
        <v>1082</v>
      </c>
      <c r="J45" s="8"/>
    </row>
    <row r="46" spans="1:10" x14ac:dyDescent="0.35">
      <c r="A46" s="8" t="s">
        <v>1083</v>
      </c>
      <c r="B46" s="8" t="s">
        <v>1084</v>
      </c>
      <c r="C46" s="13" t="str">
        <f>IF(C18="Exact Published","Published Benchmark",IF(C18="Nearest Planning Proxy","Planning Proxy","Benchmark Required"))</f>
        <v>Published Benchmark</v>
      </c>
      <c r="D46" s="13" t="str">
        <f>C46</f>
        <v>Published Benchmark</v>
      </c>
      <c r="E46" s="13" t="str">
        <f>C46</f>
        <v>Published Benchmark</v>
      </c>
      <c r="F46" s="8" t="s">
        <v>697</v>
      </c>
      <c r="G46" s="8" t="s">
        <v>1085</v>
      </c>
      <c r="H46" s="8" t="s">
        <v>626</v>
      </c>
      <c r="I46" s="8" t="s">
        <v>434</v>
      </c>
      <c r="J46" s="8"/>
    </row>
    <row r="47" spans="1:10" x14ac:dyDescent="0.35">
      <c r="A47" s="8" t="s">
        <v>1086</v>
      </c>
      <c r="B47" s="8" t="s">
        <v>1087</v>
      </c>
      <c r="C47" s="13" t="str">
        <f>IF(OR(Model_Selection!C25="Ineligible",C7="Mapping Required"),"Not Ready",IF(C18="Exact Published","Production Candidate","Planning BOM"))</f>
        <v>Production Candidate</v>
      </c>
      <c r="D47" s="13" t="str">
        <f>C47</f>
        <v>Production Candidate</v>
      </c>
      <c r="E47" s="13" t="str">
        <f>C47</f>
        <v>Production Candidate</v>
      </c>
      <c r="F47" s="8" t="s">
        <v>697</v>
      </c>
      <c r="G47" s="8" t="s">
        <v>1088</v>
      </c>
      <c r="H47" s="8" t="s">
        <v>626</v>
      </c>
      <c r="I47" s="8" t="s">
        <v>1089</v>
      </c>
      <c r="J47" s="8" t="s">
        <v>1090</v>
      </c>
    </row>
  </sheetData>
  <mergeCells count="1">
    <mergeCell ref="A1:J1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7"/>
  <sheetViews>
    <sheetView showGridLines="0" zoomScale="77" zoomScaleNormal="100" workbookViewId="0">
      <selection activeCell="C11" sqref="C11"/>
    </sheetView>
  </sheetViews>
  <sheetFormatPr defaultColWidth="8.7265625" defaultRowHeight="14.5" x14ac:dyDescent="0.35"/>
  <cols>
    <col min="1" max="1" width="9.81640625" style="3" bestFit="1" customWidth="1"/>
    <col min="2" max="2" width="23.08984375" style="3" bestFit="1" customWidth="1"/>
    <col min="3" max="5" width="29.54296875" style="3" bestFit="1" customWidth="1"/>
    <col min="6" max="6" width="13" style="3" bestFit="1" customWidth="1"/>
    <col min="7" max="7" width="42.36328125" style="3" bestFit="1" customWidth="1"/>
    <col min="8" max="8" width="15.1796875" style="3" bestFit="1" customWidth="1"/>
    <col min="9" max="9" width="15.453125" style="3" bestFit="1" customWidth="1"/>
    <col min="10" max="10" width="20.36328125" style="3" bestFit="1" customWidth="1"/>
    <col min="11" max="11" width="46" style="3" bestFit="1" customWidth="1"/>
    <col min="12" max="16384" width="8.7265625" style="3"/>
  </cols>
  <sheetData>
    <row r="1" spans="1:11" ht="18" customHeight="1" x14ac:dyDescent="0.35">
      <c r="A1" s="15" t="s">
        <v>1091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x14ac:dyDescent="0.35">
      <c r="A3" s="9" t="s">
        <v>1092</v>
      </c>
      <c r="B3" s="9" t="s">
        <v>1093</v>
      </c>
      <c r="C3" s="9" t="s">
        <v>937</v>
      </c>
      <c r="D3" s="9" t="s">
        <v>938</v>
      </c>
      <c r="E3" s="9" t="s">
        <v>939</v>
      </c>
      <c r="F3" s="9" t="s">
        <v>6</v>
      </c>
      <c r="G3" s="9" t="s">
        <v>1094</v>
      </c>
      <c r="H3" s="9" t="s">
        <v>1095</v>
      </c>
      <c r="I3" s="9" t="s">
        <v>1096</v>
      </c>
      <c r="J3" s="9" t="s">
        <v>728</v>
      </c>
      <c r="K3" s="9" t="s">
        <v>282</v>
      </c>
    </row>
    <row r="4" spans="1:11" x14ac:dyDescent="0.35">
      <c r="A4" s="8" t="s">
        <v>1097</v>
      </c>
      <c r="B4" s="8" t="s">
        <v>673</v>
      </c>
      <c r="C4" s="13" t="str">
        <f>GPU_Server_Selection!C4</f>
        <v>WRK-006</v>
      </c>
      <c r="D4" s="13" t="str">
        <f>GPU_Server_Selection!D4</f>
        <v>WRK-006</v>
      </c>
      <c r="E4" s="13" t="str">
        <f>GPU_Server_Selection!E4</f>
        <v>WRK-006</v>
      </c>
      <c r="F4" s="8" t="s">
        <v>674</v>
      </c>
      <c r="G4" s="8" t="s">
        <v>1098</v>
      </c>
      <c r="H4" s="8" t="s">
        <v>626</v>
      </c>
      <c r="I4" s="8" t="s">
        <v>20</v>
      </c>
      <c r="J4" s="8" t="s">
        <v>22</v>
      </c>
      <c r="K4" s="8"/>
    </row>
    <row r="5" spans="1:11" x14ac:dyDescent="0.35">
      <c r="A5" s="8" t="s">
        <v>1099</v>
      </c>
      <c r="B5" s="8" t="s">
        <v>950</v>
      </c>
      <c r="C5" s="13" t="str">
        <f>GPU_Server_Selection!C6</f>
        <v>Llama 3.3 70B Instruct</v>
      </c>
      <c r="D5" s="13" t="str">
        <f>GPU_Server_Selection!D6</f>
        <v>Llama 3.3 70B Instruct</v>
      </c>
      <c r="E5" s="13" t="str">
        <f>GPU_Server_Selection!E6</f>
        <v>Llama 3.3 70B Instruct</v>
      </c>
      <c r="F5" s="8" t="s">
        <v>951</v>
      </c>
      <c r="G5" s="8" t="s">
        <v>1100</v>
      </c>
      <c r="H5" s="8" t="s">
        <v>213</v>
      </c>
      <c r="I5" s="8" t="s">
        <v>154</v>
      </c>
      <c r="J5" s="8" t="s">
        <v>1101</v>
      </c>
      <c r="K5" s="8" t="s">
        <v>1102</v>
      </c>
    </row>
    <row r="6" spans="1:11" x14ac:dyDescent="0.35">
      <c r="A6" s="8" t="s">
        <v>1103</v>
      </c>
      <c r="B6" s="8" t="s">
        <v>915</v>
      </c>
      <c r="C6" s="13" t="str">
        <f>GPU_Server_Selection!C18</f>
        <v>Exact Published</v>
      </c>
      <c r="D6" s="13" t="str">
        <f>GPU_Server_Selection!D18</f>
        <v>Exact Published</v>
      </c>
      <c r="E6" s="13" t="str">
        <f>GPU_Server_Selection!E18</f>
        <v>Exact Published</v>
      </c>
      <c r="F6" s="8" t="s">
        <v>1104</v>
      </c>
      <c r="G6" s="8" t="s">
        <v>1105</v>
      </c>
      <c r="H6" s="8" t="s">
        <v>626</v>
      </c>
      <c r="I6" s="8" t="s">
        <v>434</v>
      </c>
      <c r="J6" s="8" t="s">
        <v>22</v>
      </c>
      <c r="K6" s="8" t="s">
        <v>1106</v>
      </c>
    </row>
    <row r="7" spans="1:11" x14ac:dyDescent="0.35">
      <c r="A7" s="8" t="s">
        <v>1107</v>
      </c>
      <c r="B7" s="8" t="s">
        <v>418</v>
      </c>
      <c r="C7" s="13" t="str">
        <f>GPU_Server_Selection!C9</f>
        <v>H100 SXM5 80GB</v>
      </c>
      <c r="D7" s="13" t="str">
        <f>GPU_Server_Selection!D9</f>
        <v>H100 SXM5 80GB</v>
      </c>
      <c r="E7" s="13" t="str">
        <f>GPU_Server_Selection!E9</f>
        <v>H100 SXM5 80GB</v>
      </c>
      <c r="F7" s="8" t="s">
        <v>959</v>
      </c>
      <c r="G7" s="8" t="s">
        <v>92</v>
      </c>
      <c r="H7" s="8" t="s">
        <v>681</v>
      </c>
      <c r="I7" s="8" t="s">
        <v>416</v>
      </c>
      <c r="J7" s="8" t="s">
        <v>1108</v>
      </c>
      <c r="K7" s="8"/>
    </row>
    <row r="8" spans="1:11" x14ac:dyDescent="0.35">
      <c r="A8" s="8" t="s">
        <v>1109</v>
      </c>
      <c r="B8" s="8" t="s">
        <v>1036</v>
      </c>
      <c r="C8" s="13">
        <f>GPU_Server_Selection!C33</f>
        <v>40</v>
      </c>
      <c r="D8" s="13">
        <f>GPU_Server_Selection!D33</f>
        <v>40</v>
      </c>
      <c r="E8" s="13">
        <f>GPU_Server_Selection!E33</f>
        <v>40</v>
      </c>
      <c r="F8" s="8" t="s">
        <v>983</v>
      </c>
      <c r="G8" s="8" t="s">
        <v>1110</v>
      </c>
      <c r="H8" s="8" t="s">
        <v>626</v>
      </c>
      <c r="I8" s="8" t="s">
        <v>416</v>
      </c>
      <c r="J8" s="8" t="s">
        <v>1108</v>
      </c>
      <c r="K8" s="8"/>
    </row>
    <row r="9" spans="1:11" x14ac:dyDescent="0.35">
      <c r="A9" s="8" t="s">
        <v>1111</v>
      </c>
      <c r="B9" s="8" t="s">
        <v>1048</v>
      </c>
      <c r="C9" s="13">
        <f>GPU_Server_Selection!C37</f>
        <v>40</v>
      </c>
      <c r="D9" s="13">
        <f>GPU_Server_Selection!D37</f>
        <v>52</v>
      </c>
      <c r="E9" s="13">
        <f>GPU_Server_Selection!E37</f>
        <v>60</v>
      </c>
      <c r="F9" s="8" t="s">
        <v>983</v>
      </c>
      <c r="G9" s="8" t="s">
        <v>1112</v>
      </c>
      <c r="H9" s="8" t="s">
        <v>626</v>
      </c>
      <c r="I9" s="8" t="s">
        <v>416</v>
      </c>
      <c r="J9" s="8" t="s">
        <v>1108</v>
      </c>
      <c r="K9" s="8"/>
    </row>
    <row r="10" spans="1:11" x14ac:dyDescent="0.35">
      <c r="A10" s="8" t="s">
        <v>1113</v>
      </c>
      <c r="B10" s="8" t="s">
        <v>1072</v>
      </c>
      <c r="C10" s="13">
        <f>GPU_Server_Selection!C43</f>
        <v>3200</v>
      </c>
      <c r="D10" s="13">
        <f>GPU_Server_Selection!D43</f>
        <v>4160</v>
      </c>
      <c r="E10" s="13">
        <f>GPU_Server_Selection!E43</f>
        <v>4800</v>
      </c>
      <c r="F10" s="8" t="s">
        <v>962</v>
      </c>
      <c r="G10" s="8" t="s">
        <v>1114</v>
      </c>
      <c r="H10" s="8" t="s">
        <v>626</v>
      </c>
      <c r="I10" s="8" t="s">
        <v>416</v>
      </c>
      <c r="J10" s="8" t="s">
        <v>22</v>
      </c>
      <c r="K10" s="8"/>
    </row>
    <row r="11" spans="1:11" x14ac:dyDescent="0.35">
      <c r="A11" s="8" t="s">
        <v>1115</v>
      </c>
      <c r="B11" s="8" t="s">
        <v>712</v>
      </c>
      <c r="C11" s="13" t="str">
        <f>GPU_Server_Selection!C35</f>
        <v>PowerEdge XE8640</v>
      </c>
      <c r="D11" s="13" t="str">
        <f>GPU_Server_Selection!D35</f>
        <v>PowerEdge XE8640</v>
      </c>
      <c r="E11" s="13" t="str">
        <f>GPU_Server_Selection!E35</f>
        <v>PowerEdge XE8640</v>
      </c>
      <c r="F11" s="8" t="s">
        <v>1116</v>
      </c>
      <c r="G11" s="8" t="s">
        <v>1117</v>
      </c>
      <c r="H11" s="8" t="s">
        <v>681</v>
      </c>
      <c r="I11" s="8" t="s">
        <v>791</v>
      </c>
      <c r="J11" s="8" t="s">
        <v>1108</v>
      </c>
      <c r="K11" s="8"/>
    </row>
    <row r="12" spans="1:11" x14ac:dyDescent="0.35">
      <c r="A12" s="8" t="s">
        <v>1118</v>
      </c>
      <c r="B12" s="8" t="s">
        <v>1053</v>
      </c>
      <c r="C12" s="13">
        <f>GPU_Server_Selection!C38</f>
        <v>10</v>
      </c>
      <c r="D12" s="13">
        <f>GPU_Server_Selection!D38</f>
        <v>13</v>
      </c>
      <c r="E12" s="13">
        <f>GPU_Server_Selection!E38</f>
        <v>15</v>
      </c>
      <c r="F12" s="8" t="s">
        <v>101</v>
      </c>
      <c r="G12" s="8" t="s">
        <v>1054</v>
      </c>
      <c r="H12" s="8" t="s">
        <v>626</v>
      </c>
      <c r="I12" s="8" t="s">
        <v>711</v>
      </c>
      <c r="J12" s="8" t="s">
        <v>1108</v>
      </c>
      <c r="K12" s="8"/>
    </row>
    <row r="13" spans="1:11" x14ac:dyDescent="0.35">
      <c r="A13" s="8" t="s">
        <v>1119</v>
      </c>
      <c r="B13" s="8" t="s">
        <v>1056</v>
      </c>
      <c r="C13" s="13">
        <f>GPU_Server_Selection!C39</f>
        <v>18</v>
      </c>
      <c r="D13" s="13">
        <f>GPU_Server_Selection!D39</f>
        <v>23</v>
      </c>
      <c r="E13" s="13">
        <f>GPU_Server_Selection!E39</f>
        <v>26</v>
      </c>
      <c r="F13" s="8" t="s">
        <v>101</v>
      </c>
      <c r="G13" s="8" t="s">
        <v>1057</v>
      </c>
      <c r="H13" s="8" t="s">
        <v>626</v>
      </c>
      <c r="I13" s="8" t="s">
        <v>1058</v>
      </c>
      <c r="J13" s="8" t="s">
        <v>1108</v>
      </c>
      <c r="K13" s="8"/>
    </row>
    <row r="14" spans="1:11" x14ac:dyDescent="0.35">
      <c r="A14" s="8" t="s">
        <v>1120</v>
      </c>
      <c r="B14" s="8" t="s">
        <v>1060</v>
      </c>
      <c r="C14" s="13">
        <f>GPU_Server_Selection!C40</f>
        <v>19</v>
      </c>
      <c r="D14" s="13">
        <f>GPU_Server_Selection!D40</f>
        <v>24</v>
      </c>
      <c r="E14" s="13">
        <f>GPU_Server_Selection!E40</f>
        <v>27</v>
      </c>
      <c r="F14" s="8" t="s">
        <v>101</v>
      </c>
      <c r="G14" s="8" t="s">
        <v>1121</v>
      </c>
      <c r="H14" s="8" t="s">
        <v>626</v>
      </c>
      <c r="I14" s="8" t="s">
        <v>1062</v>
      </c>
      <c r="J14" s="8" t="s">
        <v>1108</v>
      </c>
      <c r="K14" s="8"/>
    </row>
    <row r="15" spans="1:11" x14ac:dyDescent="0.35">
      <c r="A15" s="8" t="s">
        <v>1122</v>
      </c>
      <c r="B15" s="8" t="s">
        <v>1064</v>
      </c>
      <c r="C15" s="13">
        <f>GPU_Server_Selection!C41</f>
        <v>10</v>
      </c>
      <c r="D15" s="13">
        <f>GPU_Server_Selection!D41</f>
        <v>12</v>
      </c>
      <c r="E15" s="13">
        <f>GPU_Server_Selection!E41</f>
        <v>14</v>
      </c>
      <c r="F15" s="8" t="s">
        <v>101</v>
      </c>
      <c r="G15" s="8" t="s">
        <v>1065</v>
      </c>
      <c r="H15" s="8" t="s">
        <v>626</v>
      </c>
      <c r="I15" s="8" t="s">
        <v>1066</v>
      </c>
      <c r="J15" s="8" t="s">
        <v>1108</v>
      </c>
      <c r="K15" s="8"/>
    </row>
    <row r="16" spans="1:11" x14ac:dyDescent="0.35">
      <c r="A16" s="8" t="s">
        <v>1123</v>
      </c>
      <c r="B16" s="8" t="s">
        <v>1068</v>
      </c>
      <c r="C16" s="13">
        <f>GPU_Server_Selection!C42</f>
        <v>29</v>
      </c>
      <c r="D16" s="13">
        <f>GPU_Server_Selection!D42</f>
        <v>36</v>
      </c>
      <c r="E16" s="13">
        <f>GPU_Server_Selection!E42</f>
        <v>41</v>
      </c>
      <c r="F16" s="8" t="s">
        <v>101</v>
      </c>
      <c r="G16" s="8" t="s">
        <v>1069</v>
      </c>
      <c r="H16" s="8" t="s">
        <v>626</v>
      </c>
      <c r="I16" s="8" t="s">
        <v>711</v>
      </c>
      <c r="J16" s="8" t="s">
        <v>1108</v>
      </c>
      <c r="K16" s="8"/>
    </row>
    <row r="17" spans="1:11" x14ac:dyDescent="0.35">
      <c r="A17" s="8" t="s">
        <v>1124</v>
      </c>
      <c r="B17" s="8" t="s">
        <v>714</v>
      </c>
      <c r="C17" s="13" t="str">
        <f>IFERROR(INDEX(Hardware_Mapping_Catalog!$E$4:$E$10,MATCH(C11,Hardware_Mapping_Catalog!$B$4:$B$10,0)),"Data Required")</f>
        <v>Intel Xeon Scalable 4th Gen</v>
      </c>
      <c r="D17" s="13" t="str">
        <f>IFERROR(INDEX(Hardware_Mapping_Catalog!$E$4:$E$10,MATCH(D11,Hardware_Mapping_Catalog!$B$4:$B$10,0)),"Data Required")</f>
        <v>Intel Xeon Scalable 4th Gen</v>
      </c>
      <c r="E17" s="13" t="str">
        <f>IFERROR(INDEX(Hardware_Mapping_Catalog!$E$4:$E$10,MATCH(E11,Hardware_Mapping_Catalog!$B$4:$B$10,0)),"Data Required")</f>
        <v>Intel Xeon Scalable 4th Gen</v>
      </c>
      <c r="F17" s="8" t="s">
        <v>1125</v>
      </c>
      <c r="G17" s="8" t="s">
        <v>1126</v>
      </c>
      <c r="H17" s="8" t="s">
        <v>693</v>
      </c>
      <c r="I17" s="8" t="s">
        <v>711</v>
      </c>
      <c r="J17" s="8" t="s">
        <v>1127</v>
      </c>
      <c r="K17" s="8" t="s">
        <v>1128</v>
      </c>
    </row>
    <row r="18" spans="1:11" x14ac:dyDescent="0.35">
      <c r="A18" s="8" t="s">
        <v>1129</v>
      </c>
      <c r="B18" s="8" t="s">
        <v>1130</v>
      </c>
      <c r="C18" s="13">
        <f>IFERROR(INDEX(Hardware_Mapping_Catalog!$F$4:$F$10,MATCH(C11,Hardware_Mapping_Catalog!$B$4:$B$10,0)),"Data Required")</f>
        <v>2</v>
      </c>
      <c r="D18" s="13">
        <f>IFERROR(INDEX(Hardware_Mapping_Catalog!$F$4:$F$10,MATCH(D11,Hardware_Mapping_Catalog!$B$4:$B$10,0)),"Data Required")</f>
        <v>2</v>
      </c>
      <c r="E18" s="13">
        <f>IFERROR(INDEX(Hardware_Mapping_Catalog!$F$4:$F$10,MATCH(E11,Hardware_Mapping_Catalog!$B$4:$B$10,0)),"Data Required")</f>
        <v>2</v>
      </c>
      <c r="F18" s="8" t="s">
        <v>1131</v>
      </c>
      <c r="G18" s="8" t="s">
        <v>1126</v>
      </c>
      <c r="H18" s="8" t="s">
        <v>693</v>
      </c>
      <c r="I18" s="8" t="s">
        <v>711</v>
      </c>
      <c r="J18" s="8" t="s">
        <v>1127</v>
      </c>
      <c r="K18" s="8"/>
    </row>
    <row r="19" spans="1:11" x14ac:dyDescent="0.35">
      <c r="A19" s="8" t="s">
        <v>1132</v>
      </c>
      <c r="B19" s="8" t="s">
        <v>1133</v>
      </c>
      <c r="C19" s="13">
        <f>IFERROR(INDEX(Hardware_Mapping_Catalog!$G$4:$G$10,MATCH(C11,Hardware_Mapping_Catalog!$B$4:$B$10,0)),"Data Required")</f>
        <v>56</v>
      </c>
      <c r="D19" s="13">
        <f>IFERROR(INDEX(Hardware_Mapping_Catalog!$G$4:$G$10,MATCH(D11,Hardware_Mapping_Catalog!$B$4:$B$10,0)),"Data Required")</f>
        <v>56</v>
      </c>
      <c r="E19" s="13">
        <f>IFERROR(INDEX(Hardware_Mapping_Catalog!$G$4:$G$10,MATCH(E11,Hardware_Mapping_Catalog!$B$4:$B$10,0)),"Data Required")</f>
        <v>56</v>
      </c>
      <c r="F19" s="8" t="s">
        <v>1134</v>
      </c>
      <c r="G19" s="8" t="s">
        <v>1126</v>
      </c>
      <c r="H19" s="8" t="s">
        <v>1135</v>
      </c>
      <c r="I19" s="8" t="s">
        <v>711</v>
      </c>
      <c r="J19" s="8" t="s">
        <v>1127</v>
      </c>
      <c r="K19" s="8" t="s">
        <v>1136</v>
      </c>
    </row>
    <row r="20" spans="1:11" x14ac:dyDescent="0.35">
      <c r="A20" s="8" t="s">
        <v>1137</v>
      </c>
      <c r="B20" s="8" t="s">
        <v>1138</v>
      </c>
      <c r="C20" s="13" t="str">
        <f>IFERROR(INDEX(Hardware_Mapping_Catalog!$H$4:$H$10,MATCH(C11,Hardware_Mapping_Catalog!$B$4:$B$10,0)),"Data Required")</f>
        <v>Data Required</v>
      </c>
      <c r="D20" s="13" t="str">
        <f>IFERROR(INDEX(Hardware_Mapping_Catalog!$H$4:$H$10,MATCH(D11,Hardware_Mapping_Catalog!$B$4:$B$10,0)),"Data Required")</f>
        <v>Data Required</v>
      </c>
      <c r="E20" s="13" t="str">
        <f>IFERROR(INDEX(Hardware_Mapping_Catalog!$H$4:$H$10,MATCH(E11,Hardware_Mapping_Catalog!$B$4:$B$10,0)),"Data Required")</f>
        <v>Data Required</v>
      </c>
      <c r="F20" s="8" t="s">
        <v>1139</v>
      </c>
      <c r="G20" s="8" t="s">
        <v>1126</v>
      </c>
      <c r="H20" s="8" t="s">
        <v>1135</v>
      </c>
      <c r="I20" s="8" t="s">
        <v>711</v>
      </c>
      <c r="J20" s="8" t="s">
        <v>1127</v>
      </c>
      <c r="K20" s="8" t="s">
        <v>1140</v>
      </c>
    </row>
    <row r="21" spans="1:11" x14ac:dyDescent="0.35">
      <c r="A21" s="8" t="s">
        <v>1141</v>
      </c>
      <c r="B21" s="8" t="s">
        <v>1142</v>
      </c>
      <c r="C21" s="13" t="str">
        <f>IFERROR(INDEX(Hardware_Mapping_Catalog!$N$4:$N$10,MATCH(C11,Hardware_Mapping_Catalog!$B$4:$B$10,0)),"Data Required")</f>
        <v>Data Required</v>
      </c>
      <c r="D21" s="13" t="str">
        <f>IFERROR(INDEX(Hardware_Mapping_Catalog!$N$4:$N$10,MATCH(D11,Hardware_Mapping_Catalog!$B$4:$B$10,0)),"Data Required")</f>
        <v>Data Required</v>
      </c>
      <c r="E21" s="13" t="str">
        <f>IFERROR(INDEX(Hardware_Mapping_Catalog!$N$4:$N$10,MATCH(E11,Hardware_Mapping_Catalog!$B$4:$B$10,0)),"Data Required")</f>
        <v>Data Required</v>
      </c>
      <c r="F21" s="8" t="s">
        <v>1139</v>
      </c>
      <c r="G21" s="8" t="s">
        <v>1126</v>
      </c>
      <c r="H21" s="8" t="s">
        <v>1135</v>
      </c>
      <c r="I21" s="8" t="s">
        <v>711</v>
      </c>
      <c r="J21" s="8" t="s">
        <v>1127</v>
      </c>
      <c r="K21" s="8" t="s">
        <v>1143</v>
      </c>
    </row>
    <row r="22" spans="1:11" x14ac:dyDescent="0.35">
      <c r="A22" s="8" t="s">
        <v>1144</v>
      </c>
      <c r="B22" s="8" t="s">
        <v>1145</v>
      </c>
      <c r="C22" s="13" t="str">
        <f>IFERROR(INDEX(Hardware_Mapping_Catalog!$O$4:$O$10,MATCH(C11,Hardware_Mapping_Catalog!$B$4:$B$10,0)),"Data Required")</f>
        <v>High-speed GPU fabric; exact NIC by configured BOM</v>
      </c>
      <c r="D22" s="13" t="str">
        <f>IFERROR(INDEX(Hardware_Mapping_Catalog!$O$4:$O$10,MATCH(D11,Hardware_Mapping_Catalog!$B$4:$B$10,0)),"Data Required")</f>
        <v>High-speed GPU fabric; exact NIC by configured BOM</v>
      </c>
      <c r="E22" s="13" t="str">
        <f>IFERROR(INDEX(Hardware_Mapping_Catalog!$O$4:$O$10,MATCH(E11,Hardware_Mapping_Catalog!$B$4:$B$10,0)),"Data Required")</f>
        <v>High-speed GPU fabric; exact NIC by configured BOM</v>
      </c>
      <c r="F22" s="8" t="s">
        <v>1146</v>
      </c>
      <c r="G22" s="8" t="s">
        <v>1126</v>
      </c>
      <c r="H22" s="8" t="s">
        <v>1135</v>
      </c>
      <c r="I22" s="8" t="s">
        <v>711</v>
      </c>
      <c r="J22" s="8" t="s">
        <v>1147</v>
      </c>
      <c r="K22" s="8" t="s">
        <v>1148</v>
      </c>
    </row>
    <row r="23" spans="1:11" x14ac:dyDescent="0.35">
      <c r="A23" s="8" t="s">
        <v>1149</v>
      </c>
      <c r="B23" s="8" t="s">
        <v>719</v>
      </c>
      <c r="C23" s="13" t="str">
        <f>IFERROR(INDEX(Hardware_Mapping_Catalog!$J$4:$J$10,MATCH(C11,Hardware_Mapping_Catalog!$B$4:$B$10,0)),"Data Required")</f>
        <v>Liquid-cooled GPU tray / air-cooled CPU</v>
      </c>
      <c r="D23" s="13" t="str">
        <f>IFERROR(INDEX(Hardware_Mapping_Catalog!$J$4:$J$10,MATCH(D11,Hardware_Mapping_Catalog!$B$4:$B$10,0)),"Data Required")</f>
        <v>Liquid-cooled GPU tray / air-cooled CPU</v>
      </c>
      <c r="E23" s="13" t="str">
        <f>IFERROR(INDEX(Hardware_Mapping_Catalog!$J$4:$J$10,MATCH(E11,Hardware_Mapping_Catalog!$B$4:$B$10,0)),"Data Required")</f>
        <v>Liquid-cooled GPU tray / air-cooled CPU</v>
      </c>
      <c r="F23" s="8" t="s">
        <v>988</v>
      </c>
      <c r="G23" s="8" t="s">
        <v>1126</v>
      </c>
      <c r="H23" s="8" t="s">
        <v>1135</v>
      </c>
      <c r="I23" s="8" t="s">
        <v>711</v>
      </c>
      <c r="J23" s="8" t="s">
        <v>1150</v>
      </c>
      <c r="K23" s="8"/>
    </row>
    <row r="24" spans="1:11" x14ac:dyDescent="0.35">
      <c r="A24" s="8" t="s">
        <v>1151</v>
      </c>
      <c r="B24" s="8" t="s">
        <v>1152</v>
      </c>
      <c r="C24" s="13">
        <f>IFERROR(INDEX(Hardware_Mapping_Catalog!$I$4:$I$10,MATCH(C11,Hardware_Mapping_Catalog!$B$4:$B$10,0)),"Data Required")</f>
        <v>4</v>
      </c>
      <c r="D24" s="13">
        <f>IFERROR(INDEX(Hardware_Mapping_Catalog!$I$4:$I$10,MATCH(D11,Hardware_Mapping_Catalog!$B$4:$B$10,0)),"Data Required")</f>
        <v>4</v>
      </c>
      <c r="E24" s="13">
        <f>IFERROR(INDEX(Hardware_Mapping_Catalog!$I$4:$I$10,MATCH(E11,Hardware_Mapping_Catalog!$B$4:$B$10,0)),"Data Required")</f>
        <v>4</v>
      </c>
      <c r="F24" s="8" t="s">
        <v>1153</v>
      </c>
      <c r="G24" s="8" t="s">
        <v>1126</v>
      </c>
      <c r="H24" s="8" t="s">
        <v>1135</v>
      </c>
      <c r="I24" s="8" t="s">
        <v>711</v>
      </c>
      <c r="J24" s="8" t="s">
        <v>1150</v>
      </c>
      <c r="K24" s="8"/>
    </row>
    <row r="25" spans="1:11" x14ac:dyDescent="0.35">
      <c r="A25" s="8" t="s">
        <v>1154</v>
      </c>
      <c r="B25" s="8" t="s">
        <v>729</v>
      </c>
      <c r="C25" s="14">
        <f>GPU_Server_Selection!C44</f>
        <v>180000</v>
      </c>
      <c r="D25" s="14">
        <f>GPU_Server_Selection!D44</f>
        <v>180000</v>
      </c>
      <c r="E25" s="14">
        <f>GPU_Server_Selection!E44</f>
        <v>180000</v>
      </c>
      <c r="F25" s="8" t="s">
        <v>1075</v>
      </c>
      <c r="G25" s="8" t="s">
        <v>1155</v>
      </c>
      <c r="H25" s="8" t="s">
        <v>1077</v>
      </c>
      <c r="I25" s="8" t="s">
        <v>791</v>
      </c>
      <c r="J25" s="8" t="s">
        <v>1108</v>
      </c>
      <c r="K25" s="8" t="s">
        <v>1156</v>
      </c>
    </row>
    <row r="26" spans="1:11" x14ac:dyDescent="0.35">
      <c r="A26" s="8" t="s">
        <v>1157</v>
      </c>
      <c r="B26" s="8" t="s">
        <v>1080</v>
      </c>
      <c r="C26" s="14">
        <f>GPU_Server_Selection!C45</f>
        <v>5220000</v>
      </c>
      <c r="D26" s="14">
        <f>GPU_Server_Selection!D45</f>
        <v>6480000</v>
      </c>
      <c r="E26" s="14">
        <f>GPU_Server_Selection!E45</f>
        <v>7380000</v>
      </c>
      <c r="F26" s="8" t="s">
        <v>743</v>
      </c>
      <c r="G26" s="8" t="s">
        <v>1081</v>
      </c>
      <c r="H26" s="8" t="s">
        <v>1077</v>
      </c>
      <c r="I26" s="8" t="s">
        <v>711</v>
      </c>
      <c r="J26" s="8" t="s">
        <v>1108</v>
      </c>
      <c r="K26" s="8"/>
    </row>
    <row r="27" spans="1:11" x14ac:dyDescent="0.35">
      <c r="A27" s="8" t="s">
        <v>1158</v>
      </c>
      <c r="B27" s="8" t="s">
        <v>1159</v>
      </c>
      <c r="C27" s="13" t="str">
        <f>GPU_Server_Selection!C47</f>
        <v>Production Candidate</v>
      </c>
      <c r="D27" s="13" t="str">
        <f>GPU_Server_Selection!D47</f>
        <v>Production Candidate</v>
      </c>
      <c r="E27" s="13" t="str">
        <f>GPU_Server_Selection!E47</f>
        <v>Production Candidate</v>
      </c>
      <c r="F27" s="8" t="s">
        <v>697</v>
      </c>
      <c r="G27" s="8" t="s">
        <v>1160</v>
      </c>
      <c r="H27" s="8" t="s">
        <v>626</v>
      </c>
      <c r="I27" s="8" t="s">
        <v>1089</v>
      </c>
      <c r="J27" s="8" t="s">
        <v>22</v>
      </c>
      <c r="K27" s="8"/>
    </row>
  </sheetData>
  <mergeCells count="1">
    <mergeCell ref="A1:K1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4"/>
  <sheetViews>
    <sheetView showGridLines="0" zoomScaleNormal="100" workbookViewId="0">
      <selection sqref="A1:K1"/>
    </sheetView>
  </sheetViews>
  <sheetFormatPr defaultColWidth="8.7265625" defaultRowHeight="14.5" x14ac:dyDescent="0.35"/>
  <cols>
    <col min="1" max="1" width="14" style="1" customWidth="1"/>
    <col min="2" max="2" width="31" style="1" customWidth="1"/>
    <col min="3" max="5" width="23" style="1" customWidth="1"/>
    <col min="6" max="6" width="16" style="1" customWidth="1"/>
    <col min="7" max="7" width="43" style="1" customWidth="1"/>
    <col min="8" max="8" width="18" style="1" customWidth="1"/>
    <col min="9" max="9" width="16" style="1" customWidth="1"/>
    <col min="10" max="10" width="38" style="1" customWidth="1"/>
    <col min="11" max="11" width="42" style="1" customWidth="1"/>
  </cols>
  <sheetData>
    <row r="1" spans="1:11" ht="17.899999999999999" customHeight="1" x14ac:dyDescent="0.25">
      <c r="A1" s="16" t="s">
        <v>1161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4" x14ac:dyDescent="0.25">
      <c r="A3" s="4" t="s">
        <v>1162</v>
      </c>
      <c r="B3" s="4" t="s">
        <v>1093</v>
      </c>
      <c r="C3" s="4" t="s">
        <v>805</v>
      </c>
      <c r="D3" s="4" t="s">
        <v>806</v>
      </c>
      <c r="E3" s="4" t="s">
        <v>807</v>
      </c>
      <c r="F3" s="4" t="s">
        <v>6</v>
      </c>
      <c r="G3" s="4" t="s">
        <v>1163</v>
      </c>
      <c r="H3" s="4" t="s">
        <v>11</v>
      </c>
      <c r="I3" s="4" t="s">
        <v>916</v>
      </c>
      <c r="J3" s="4" t="s">
        <v>1164</v>
      </c>
      <c r="K3" s="4" t="s">
        <v>282</v>
      </c>
    </row>
    <row r="4" spans="1:11" x14ac:dyDescent="0.25">
      <c r="A4" s="2" t="s">
        <v>1074</v>
      </c>
      <c r="B4" s="2" t="s">
        <v>1165</v>
      </c>
      <c r="C4" s="7">
        <f>BOM!C26</f>
        <v>5220000</v>
      </c>
      <c r="D4" s="7">
        <f>BOM!D26</f>
        <v>6480000</v>
      </c>
      <c r="E4" s="7">
        <f>BOM!E26</f>
        <v>7380000</v>
      </c>
      <c r="F4" s="2" t="s">
        <v>743</v>
      </c>
      <c r="G4" s="2" t="s">
        <v>1166</v>
      </c>
      <c r="H4" s="2" t="s">
        <v>1077</v>
      </c>
      <c r="I4" s="2" t="s">
        <v>455</v>
      </c>
      <c r="J4" s="2" t="s">
        <v>1167</v>
      </c>
      <c r="K4" s="2"/>
    </row>
    <row r="5" spans="1:11" x14ac:dyDescent="0.25">
      <c r="A5" s="2" t="s">
        <v>1079</v>
      </c>
      <c r="B5" s="2" t="s">
        <v>1168</v>
      </c>
      <c r="C5" s="6">
        <f>Input!C12*(1+Input!C24)^Input!C22</f>
        <v>17.28</v>
      </c>
      <c r="D5" s="6">
        <f>C5</f>
        <v>17.28</v>
      </c>
      <c r="E5" s="6">
        <f>C5</f>
        <v>17.28</v>
      </c>
      <c r="F5" s="2" t="s">
        <v>64</v>
      </c>
      <c r="G5" s="2" t="s">
        <v>1169</v>
      </c>
      <c r="H5" s="2" t="s">
        <v>135</v>
      </c>
      <c r="I5" s="2" t="s">
        <v>36</v>
      </c>
      <c r="J5" s="2" t="s">
        <v>1170</v>
      </c>
      <c r="K5" s="2"/>
    </row>
    <row r="6" spans="1:11" x14ac:dyDescent="0.25">
      <c r="A6" s="2" t="s">
        <v>1171</v>
      </c>
      <c r="B6" s="2" t="s">
        <v>1172</v>
      </c>
      <c r="C6" s="7">
        <f>C5*1500</f>
        <v>25920</v>
      </c>
      <c r="D6" s="7">
        <f>D5*1500</f>
        <v>25920</v>
      </c>
      <c r="E6" s="7">
        <f>E5*1500</f>
        <v>25920</v>
      </c>
      <c r="F6" s="2" t="s">
        <v>743</v>
      </c>
      <c r="G6" s="2" t="s">
        <v>1173</v>
      </c>
      <c r="H6" s="2" t="s">
        <v>1077</v>
      </c>
      <c r="I6" s="2" t="s">
        <v>455</v>
      </c>
      <c r="J6" s="2" t="s">
        <v>1174</v>
      </c>
      <c r="K6" s="2"/>
    </row>
    <row r="7" spans="1:11" x14ac:dyDescent="0.25">
      <c r="A7" s="2" t="s">
        <v>1175</v>
      </c>
      <c r="B7" s="2" t="s">
        <v>1176</v>
      </c>
      <c r="C7" s="6">
        <f>IF(ISNUMBER(SEARCH("RAG",Input!C4)),C5*0.25,0)</f>
        <v>4.32</v>
      </c>
      <c r="D7" s="6">
        <f>D5*0.25</f>
        <v>4.32</v>
      </c>
      <c r="E7" s="6">
        <f>E5*0.25</f>
        <v>4.32</v>
      </c>
      <c r="F7" s="2" t="s">
        <v>64</v>
      </c>
      <c r="G7" s="2" t="s">
        <v>1177</v>
      </c>
      <c r="H7" s="2" t="s">
        <v>135</v>
      </c>
      <c r="I7" s="2" t="s">
        <v>455</v>
      </c>
      <c r="J7" s="2" t="s">
        <v>1178</v>
      </c>
      <c r="K7" s="2" t="s">
        <v>1179</v>
      </c>
    </row>
    <row r="8" spans="1:11" x14ac:dyDescent="0.25">
      <c r="A8" s="2" t="s">
        <v>1180</v>
      </c>
      <c r="B8" s="2" t="s">
        <v>1181</v>
      </c>
      <c r="C8" s="7">
        <f>C7*5000</f>
        <v>21600</v>
      </c>
      <c r="D8" s="7">
        <f>D7*5000</f>
        <v>21600</v>
      </c>
      <c r="E8" s="7">
        <f>E7*5000</f>
        <v>21600</v>
      </c>
      <c r="F8" s="2" t="s">
        <v>743</v>
      </c>
      <c r="G8" s="2" t="s">
        <v>1182</v>
      </c>
      <c r="H8" s="2" t="s">
        <v>1077</v>
      </c>
      <c r="I8" s="2" t="s">
        <v>455</v>
      </c>
      <c r="J8" s="2" t="s">
        <v>1183</v>
      </c>
      <c r="K8" s="2"/>
    </row>
    <row r="9" spans="1:11" x14ac:dyDescent="0.25">
      <c r="A9" s="2" t="s">
        <v>1184</v>
      </c>
      <c r="B9" s="2" t="s">
        <v>1185</v>
      </c>
      <c r="C9" s="6">
        <f>MAX(2,ROUNDUP(BOM!C16*2/32,0))</f>
        <v>2</v>
      </c>
      <c r="D9" s="6">
        <f>MAX(2,ROUNDUP(BOM!D16*2/32,0))</f>
        <v>3</v>
      </c>
      <c r="E9" s="6">
        <f>MAX(2,ROUNDUP(BOM!E16*2/32,0))</f>
        <v>3</v>
      </c>
      <c r="F9" s="2" t="s">
        <v>1186</v>
      </c>
      <c r="G9" s="2" t="s">
        <v>1187</v>
      </c>
      <c r="H9" s="2" t="s">
        <v>135</v>
      </c>
      <c r="I9" s="2" t="s">
        <v>455</v>
      </c>
      <c r="J9" s="2" t="s">
        <v>1188</v>
      </c>
      <c r="K9" s="2"/>
    </row>
    <row r="10" spans="1:11" x14ac:dyDescent="0.25">
      <c r="A10" s="2" t="s">
        <v>1189</v>
      </c>
      <c r="B10" s="2" t="s">
        <v>1190</v>
      </c>
      <c r="C10" s="7">
        <f>C9*50000</f>
        <v>100000</v>
      </c>
      <c r="D10" s="7">
        <f>D9*50000</f>
        <v>150000</v>
      </c>
      <c r="E10" s="7">
        <f>E9*50000</f>
        <v>150000</v>
      </c>
      <c r="F10" s="2" t="s">
        <v>743</v>
      </c>
      <c r="G10" s="2" t="s">
        <v>1191</v>
      </c>
      <c r="H10" s="2" t="s">
        <v>1077</v>
      </c>
      <c r="I10" s="2" t="s">
        <v>455</v>
      </c>
      <c r="J10" s="2" t="s">
        <v>1192</v>
      </c>
      <c r="K10" s="2"/>
    </row>
    <row r="11" spans="1:11" x14ac:dyDescent="0.25">
      <c r="A11" s="2" t="s">
        <v>1193</v>
      </c>
      <c r="B11" s="2" t="s">
        <v>1194</v>
      </c>
      <c r="C11" s="7">
        <f>SUM(C4,C6,C8,C10)*0.15</f>
        <v>805128</v>
      </c>
      <c r="D11" s="7">
        <f>SUM(D4,D6,D8,D10)*0.15</f>
        <v>1001628</v>
      </c>
      <c r="E11" s="7">
        <f>SUM(E4,E6,E8,E10)*0.15</f>
        <v>1136628</v>
      </c>
      <c r="F11" s="2" t="s">
        <v>743</v>
      </c>
      <c r="G11" s="2" t="s">
        <v>1195</v>
      </c>
      <c r="H11" s="2" t="s">
        <v>1077</v>
      </c>
      <c r="I11" s="2" t="s">
        <v>455</v>
      </c>
      <c r="J11" s="2" t="s">
        <v>1196</v>
      </c>
      <c r="K11" s="2"/>
    </row>
    <row r="12" spans="1:11" x14ac:dyDescent="0.25">
      <c r="A12" s="2" t="s">
        <v>1197</v>
      </c>
      <c r="B12" s="2" t="s">
        <v>1198</v>
      </c>
      <c r="C12" s="7">
        <f>SUM(C4,C6,C8,C10,C11)</f>
        <v>6172648</v>
      </c>
      <c r="D12" s="7">
        <f>SUM(D4,D6,D8,D10,D11)</f>
        <v>7679148</v>
      </c>
      <c r="E12" s="7">
        <f>SUM(E4,E6,E8,E10,E11)</f>
        <v>8714148</v>
      </c>
      <c r="F12" s="2" t="s">
        <v>743</v>
      </c>
      <c r="G12" s="2" t="s">
        <v>1199</v>
      </c>
      <c r="H12" s="2" t="s">
        <v>626</v>
      </c>
      <c r="I12" s="2" t="s">
        <v>455</v>
      </c>
      <c r="J12" s="2" t="s">
        <v>1200</v>
      </c>
      <c r="K12" s="2"/>
    </row>
    <row r="13" spans="1:11" x14ac:dyDescent="0.25">
      <c r="A13" s="2" t="s">
        <v>1201</v>
      </c>
      <c r="B13" s="2" t="s">
        <v>1202</v>
      </c>
      <c r="C13" s="7">
        <f>C12*0.1</f>
        <v>617264.80000000005</v>
      </c>
      <c r="D13" s="7">
        <f>D12*0.1</f>
        <v>767914.8</v>
      </c>
      <c r="E13" s="7">
        <f>E12*0.1</f>
        <v>871414.8</v>
      </c>
      <c r="F13" s="2" t="s">
        <v>743</v>
      </c>
      <c r="G13" s="2" t="s">
        <v>1203</v>
      </c>
      <c r="H13" s="2" t="s">
        <v>1077</v>
      </c>
      <c r="I13" s="2" t="s">
        <v>455</v>
      </c>
      <c r="J13" s="2" t="s">
        <v>1204</v>
      </c>
      <c r="K13" s="2"/>
    </row>
    <row r="14" spans="1:11" x14ac:dyDescent="0.25">
      <c r="A14" s="2" t="s">
        <v>1205</v>
      </c>
      <c r="B14" s="2" t="s">
        <v>1206</v>
      </c>
      <c r="C14" s="7">
        <f>C12+C13</f>
        <v>6789912.7999999998</v>
      </c>
      <c r="D14" s="7">
        <f>D12+D13</f>
        <v>8447062.8000000007</v>
      </c>
      <c r="E14" s="7">
        <f>E12+E13</f>
        <v>9585562.8000000007</v>
      </c>
      <c r="F14" s="2" t="s">
        <v>743</v>
      </c>
      <c r="G14" s="2" t="s">
        <v>1207</v>
      </c>
      <c r="H14" s="2" t="s">
        <v>626</v>
      </c>
      <c r="I14" s="2" t="s">
        <v>455</v>
      </c>
      <c r="J14" s="2" t="s">
        <v>1208</v>
      </c>
      <c r="K14" s="2"/>
    </row>
  </sheetData>
  <mergeCells count="1">
    <mergeCell ref="A1:K1"/>
  </mergeCells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Input</vt:lpstr>
      <vt:lpstr>Model_Mapping_Catalog</vt:lpstr>
      <vt:lpstr>Model_Selection</vt:lpstr>
      <vt:lpstr>Hardware_Mapping_Catalog</vt:lpstr>
      <vt:lpstr>GPU_Server_Selection</vt:lpstr>
      <vt:lpstr>BOM</vt:lpstr>
      <vt:lpstr>Financials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Sy, Manoj</dc:creator>
  <cp:keywords/>
  <dc:description/>
  <cp:lastModifiedBy>Sy, Manoj</cp:lastModifiedBy>
  <cp:revision>0</cp:revision>
  <dcterms:created xsi:type="dcterms:W3CDTF">2026-09-08T12:36:58Z</dcterms:created>
  <dcterms:modified xsi:type="dcterms:W3CDTF">2026-09-09T10:42:12Z</dcterms:modified>
  <cp:category/>
  <cp:contentStatus/>
</cp:coreProperties>
</file>